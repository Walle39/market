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4" autoFilterDateGrouping="1"/>
  </bookViews>
  <sheets>
    <sheet xmlns:r="http://schemas.openxmlformats.org/officeDocument/2006/relationships" name="数据收集总表" sheetId="1" state="visible" r:id="rId1"/>
    <sheet xmlns:r="http://schemas.openxmlformats.org/officeDocument/2006/relationships" name="宏观信号计算表" sheetId="2" state="visible" r:id="rId2"/>
    <sheet xmlns:r="http://schemas.openxmlformats.org/officeDocument/2006/relationships" name="验证层计算表" sheetId="3" state="visible" r:id="rId3"/>
    <sheet xmlns:r="http://schemas.openxmlformats.org/officeDocument/2006/relationships" name="趋势层计算表" sheetId="4" state="visible" r:id="rId4"/>
    <sheet xmlns:r="http://schemas.openxmlformats.org/officeDocument/2006/relationships" name="流动性地缘乘数表" sheetId="5" state="visible" r:id="rId5"/>
    <sheet xmlns:r="http://schemas.openxmlformats.org/officeDocument/2006/relationships" name="综合信号计算表" sheetId="6" state="visible" r:id="rId6"/>
    <sheet xmlns:r="http://schemas.openxmlformats.org/officeDocument/2006/relationships" name="强制规则检查表" sheetId="7" state="visible" r:id="rId7"/>
    <sheet xmlns:r="http://schemas.openxmlformats.org/officeDocument/2006/relationships" name="操作日志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8">
    <font>
      <name val="宋体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sz val="9"/>
    </font>
    <font>
      <name val="Calibri"/>
      <b val="1"/>
      <sz val="11"/>
    </font>
    <font>
      <name val="Calibri"/>
      <b val="1"/>
      <sz val="12"/>
    </font>
    <font>
      <name val="宋体"/>
      <charset val="134"/>
      <family val="3"/>
      <sz val="9"/>
      <scheme val="minor"/>
    </font>
    <font>
      <name val="宋体"/>
      <charset val="134"/>
      <b val="1"/>
      <sz val="11"/>
    </font>
    <font>
      <name val="宋体"/>
      <charset val="134"/>
      <b val="1"/>
      <sz val="11"/>
    </font>
  </fonts>
  <fills count="15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9D9D9"/>
        <bgColor rgb="FFD9D9D9"/>
      </patternFill>
    </fill>
    <fill>
      <patternFill patternType="solid">
        <fgColor rgb="FFBDD7EE"/>
        <bgColor rgb="FFBDD7EE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4CCCC"/>
        <bgColor rgb="FFF4CCCC"/>
      </patternFill>
    </fill>
    <fill>
      <patternFill patternType="solid">
        <fgColor rgb="FFE6B8AF"/>
        <bgColor rgb="FFE6B8AF"/>
      </patternFill>
    </fill>
    <fill>
      <patternFill patternType="solid">
        <fgColor rgb="FFE0E0E0"/>
        <bgColor rgb="FFE0E0E0"/>
      </patternFill>
    </fill>
    <fill>
      <patternFill patternType="solid">
        <fgColor rgb="FFFFF2CC"/>
        <bgColor rgb="FFFFF2CC"/>
      </patternFill>
    </fill>
    <fill>
      <patternFill patternType="solid">
        <fgColor rgb="FFEEEEEE"/>
      </patternFill>
    </fill>
    <fill>
      <patternFill patternType="solid">
        <fgColor rgb="FFE3F2FD"/>
      </patternFill>
    </fill>
    <fill>
      <patternFill patternType="solid">
        <fgColor rgb="FFFFF3CD"/>
        <bgColor rgb="FFFFF3CD"/>
      </patternFill>
    </fill>
    <fill>
      <patternFill patternType="solid">
        <fgColor rgb="FFE8F5E9"/>
        <bgColor rgb="FFE8F5E9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0" borderId="1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 wrapText="1"/>
    </xf>
    <xf numFmtId="164" fontId="0" fillId="1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/>
    </xf>
    <xf numFmtId="0" fontId="6" fillId="12" borderId="1" pivotButton="0" quotePrefix="0" xfId="0"/>
    <xf numFmtId="0" fontId="7" fillId="13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/>
    </xf>
    <xf numFmtId="164" fontId="0" fillId="10" borderId="1" applyAlignment="1" pivotButton="0" quotePrefix="0" xfId="0">
      <alignment horizontal="center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8"/>
  <sheetViews>
    <sheetView topLeftCell="F1" workbookViewId="0">
      <selection activeCell="V3" sqref="V3"/>
    </sheetView>
  </sheetViews>
  <sheetFormatPr baseColWidth="8" defaultRowHeight="13.5"/>
  <cols>
    <col width="16" customWidth="1" min="1" max="1"/>
    <col width="14" customWidth="1" min="2" max="20"/>
    <col width="11.25" customWidth="1" min="21" max="21"/>
    <col width="11.125" customWidth="1" min="22" max="22"/>
  </cols>
  <sheetData>
    <row r="1" ht="30" customHeight="1">
      <c r="A1" s="1" t="inlineStr">
        <is>
          <t>收集日期</t>
        </is>
      </c>
      <c r="B1" s="1" t="inlineStr">
        <is>
          <t>央行购金(吨)</t>
        </is>
      </c>
      <c r="C1" s="1" t="inlineStr">
        <is>
          <t>M2同比增速(%)</t>
        </is>
      </c>
      <c r="D1" s="1" t="inlineStr">
        <is>
          <t>美债/GDP比率(%)</t>
        </is>
      </c>
      <c r="E1" s="1" t="inlineStr">
        <is>
          <t>Fed预期差(bp)</t>
        </is>
      </c>
      <c r="F1" s="1" t="inlineStr">
        <is>
          <t>10Y TIPS(%)</t>
        </is>
      </c>
      <c r="G1" s="1" t="inlineStr">
        <is>
          <t>DXY</t>
        </is>
      </c>
      <c r="H1" s="1" t="inlineStr">
        <is>
          <t>ETF持仓4周变化(%)</t>
        </is>
      </c>
      <c r="I1" s="1" t="inlineStr">
        <is>
          <t>金银比</t>
        </is>
      </c>
      <c r="J1" s="1" t="inlineStr">
        <is>
          <t>金价/AISC</t>
        </is>
      </c>
      <c r="K1" s="1" t="inlineStr">
        <is>
          <t>RSI14</t>
        </is>
      </c>
      <c r="L1" s="1" t="inlineStr">
        <is>
          <t>MACD背离</t>
        </is>
      </c>
      <c r="M1" s="1" t="inlineStr">
        <is>
          <t>20日均线斜率(%)</t>
        </is>
      </c>
      <c r="N1" s="1" t="inlineStr">
        <is>
          <t>布林带状态</t>
        </is>
      </c>
      <c r="O1" s="1" t="inlineStr">
        <is>
          <t>VIX</t>
        </is>
      </c>
      <c r="P1" s="1" t="inlineStr">
        <is>
          <t>信用利差(%)</t>
        </is>
      </c>
      <c r="Q1" s="1" t="inlineStr">
        <is>
          <t>GPR指数</t>
        </is>
      </c>
      <c r="R1" s="1" t="inlineStr">
        <is>
          <t>布油价格($)</t>
        </is>
      </c>
      <c r="S1" s="1" t="inlineStr">
        <is>
          <t>CPI同比(%)</t>
        </is>
      </c>
      <c r="T1" s="1" t="inlineStr">
        <is>
          <t>金价($)</t>
        </is>
      </c>
      <c r="U1" s="1" t="inlineStr">
        <is>
          <t>金价单日跌幅</t>
        </is>
      </c>
      <c r="V1" s="1" t="inlineStr">
        <is>
          <t>DXY单日涨幅</t>
        </is>
      </c>
    </row>
    <row r="2">
      <c r="A2" s="2" t="inlineStr">
        <is>
          <t>日期</t>
        </is>
      </c>
      <c r="B2" s="3" t="inlineStr">
        <is>
          <t>S_macro</t>
        </is>
      </c>
      <c r="C2" s="3" t="inlineStr">
        <is>
          <t>S_macro</t>
        </is>
      </c>
      <c r="D2" s="3" t="inlineStr">
        <is>
          <t>S_macro</t>
        </is>
      </c>
      <c r="E2" s="3" t="inlineStr">
        <is>
          <t>S_macro</t>
        </is>
      </c>
      <c r="F2" s="3" t="inlineStr">
        <is>
          <t>S_macro</t>
        </is>
      </c>
      <c r="G2" s="3" t="inlineStr">
        <is>
          <t>S_macro</t>
        </is>
      </c>
      <c r="H2" s="4" t="inlineStr">
        <is>
          <t>K_verif</t>
        </is>
      </c>
      <c r="I2" s="4" t="inlineStr">
        <is>
          <t>K_verif</t>
        </is>
      </c>
      <c r="J2" s="4" t="inlineStr">
        <is>
          <t>K_verif</t>
        </is>
      </c>
      <c r="K2" s="5" t="inlineStr">
        <is>
          <t>K_trend</t>
        </is>
      </c>
      <c r="L2" s="5" t="inlineStr">
        <is>
          <t>K_trend</t>
        </is>
      </c>
      <c r="M2" s="5" t="inlineStr">
        <is>
          <t>K_trend</t>
        </is>
      </c>
      <c r="N2" s="5" t="inlineStr">
        <is>
          <t>K_trend</t>
        </is>
      </c>
      <c r="O2" s="6" t="inlineStr">
        <is>
          <t>K_liquidity</t>
        </is>
      </c>
      <c r="P2" s="6" t="inlineStr">
        <is>
          <t>K_liquidity</t>
        </is>
      </c>
      <c r="Q2" s="7" t="inlineStr">
        <is>
          <t>K_geo</t>
        </is>
      </c>
      <c r="R2" s="7" t="inlineStr">
        <is>
          <t>K_geo</t>
        </is>
      </c>
      <c r="S2" s="7" t="inlineStr">
        <is>
          <t>K_geo</t>
        </is>
      </c>
      <c r="T2" s="8" t="inlineStr">
        <is>
          <t>参考</t>
        </is>
      </c>
      <c r="U2" s="8" t="inlineStr">
        <is>
          <t>参考</t>
        </is>
      </c>
      <c r="V2" s="8" t="inlineStr">
        <is>
          <t>S_macro</t>
        </is>
      </c>
    </row>
    <row r="3">
      <c r="A3" s="9" t="inlineStr">
        <is>
          <t>2026-04-30</t>
        </is>
      </c>
      <c r="B3" s="18" t="n">
        <v>838</v>
      </c>
      <c r="C3" s="10" t="n">
        <v>4.2</v>
      </c>
      <c r="D3" s="10" t="n">
        <v>122.57</v>
      </c>
      <c r="E3" s="16" t="n">
        <v>-15</v>
      </c>
      <c r="F3" s="10" t="n">
        <v>1.92</v>
      </c>
      <c r="G3" s="10" t="n">
        <v>98.66</v>
      </c>
      <c r="H3" s="10" t="n">
        <v>-3.18</v>
      </c>
      <c r="I3" s="10" t="n">
        <v>63.75</v>
      </c>
      <c r="J3" s="10" t="n">
        <v>3.25</v>
      </c>
      <c r="K3" s="10" t="n">
        <v>39.01</v>
      </c>
      <c r="L3" s="10" t="n">
        <v>50</v>
      </c>
      <c r="M3" s="10" t="n">
        <v>-0.15</v>
      </c>
      <c r="N3" s="10" t="n">
        <v>83</v>
      </c>
      <c r="O3" s="10" t="n">
        <v>17.83</v>
      </c>
      <c r="P3" s="10" t="n">
        <v>1.69</v>
      </c>
      <c r="Q3" s="16" t="n">
        <v>297.27</v>
      </c>
      <c r="R3" s="10" t="n">
        <v>111.85</v>
      </c>
      <c r="S3" s="10" t="n">
        <v>3.32</v>
      </c>
      <c r="T3" s="10" t="n">
        <v>4543.41</v>
      </c>
      <c r="U3" s="10" t="n">
        <v>-1.62</v>
      </c>
      <c r="V3" s="10" t="n">
        <v>0.03</v>
      </c>
    </row>
    <row r="4">
      <c r="A4" s="22" t="inlineStr">
        <is>
          <t>2026-05-13</t>
        </is>
      </c>
      <c r="B4" s="23" t="n">
        <v>838</v>
      </c>
      <c r="C4" s="23" t="n">
        <v>4.88</v>
      </c>
      <c r="D4" s="23" t="n">
        <v>122.56815</v>
      </c>
      <c r="E4" s="24" t="n">
        <v>2.5</v>
      </c>
      <c r="F4" s="23" t="n">
        <v>1.95</v>
      </c>
      <c r="G4" s="23" t="n">
        <v>97.7146</v>
      </c>
      <c r="H4" s="23" t="n">
        <v>-0.01</v>
      </c>
      <c r="I4" s="23" t="n">
        <v>53.6281</v>
      </c>
      <c r="J4" s="23" t="n">
        <v>3.3786</v>
      </c>
      <c r="K4" s="23" t="n">
        <v>37.25</v>
      </c>
      <c r="L4" s="23" t="n">
        <v>50</v>
      </c>
      <c r="M4" s="23" t="n">
        <v>-0.0389</v>
      </c>
      <c r="N4" s="23" t="n">
        <v>67</v>
      </c>
      <c r="O4" s="23" t="n">
        <v>18.38</v>
      </c>
      <c r="P4" s="23" t="n">
        <v>1.65</v>
      </c>
      <c r="Q4" s="24" t="n">
        <v>122.1733169555664</v>
      </c>
      <c r="R4" s="23" t="n">
        <v>118.26</v>
      </c>
      <c r="S4" s="23" t="n">
        <v>3.95</v>
      </c>
      <c r="T4" s="23" t="n">
        <v>4730</v>
      </c>
      <c r="U4" s="23" t="n">
        <v>-0.0978</v>
      </c>
      <c r="V4" s="23" t="n">
        <v>0</v>
      </c>
    </row>
    <row r="5">
      <c r="A5" s="22" t="inlineStr">
        <is>
          <t>2026-06-09</t>
        </is>
      </c>
      <c r="B5" s="23" t="n">
        <v>870.5</v>
      </c>
      <c r="C5" s="23" t="n">
        <v>4.88</v>
      </c>
      <c r="D5" s="23" t="n">
        <v>121.0391507537651</v>
      </c>
      <c r="E5" s="24" t="n">
        <v>2.5</v>
      </c>
      <c r="F5" s="23" t="n">
        <v>2.19</v>
      </c>
      <c r="G5" s="23" t="n">
        <v>99.8814</v>
      </c>
      <c r="H5" s="23" t="n">
        <v>-1.53</v>
      </c>
      <c r="I5" s="23" t="n">
        <v>63.46985659935616</v>
      </c>
      <c r="J5" s="23" t="n">
        <v>2.542171922894334</v>
      </c>
      <c r="K5" s="23" t="n">
        <v>60.62</v>
      </c>
      <c r="L5" s="23" t="n">
        <v>50</v>
      </c>
      <c r="M5" s="23" t="n">
        <v>-0.27</v>
      </c>
      <c r="N5" s="23" t="n">
        <v>50</v>
      </c>
      <c r="O5" s="23" t="n">
        <v>24.76</v>
      </c>
      <c r="P5" s="23" t="n">
        <v>1.54</v>
      </c>
      <c r="Q5" s="24" t="n">
        <v>184.18</v>
      </c>
      <c r="R5" s="23" t="n">
        <v>93.03100000000001</v>
      </c>
      <c r="S5" s="23" t="n">
        <v>3.8</v>
      </c>
      <c r="T5" s="23" t="n">
        <v>4337.53</v>
      </c>
      <c r="U5" s="23" t="n">
        <v>-0.01</v>
      </c>
      <c r="V5" s="23" t="n">
        <v>-0.13</v>
      </c>
    </row>
    <row r="6">
      <c r="A6" s="22" t="inlineStr">
        <is>
          <t>2026-06-16</t>
        </is>
      </c>
      <c r="B6" s="23" t="n">
        <v>870.5</v>
      </c>
      <c r="C6" s="23" t="n">
        <v>4.88</v>
      </c>
      <c r="D6" s="23" t="n">
        <v>121.0391507537651</v>
      </c>
      <c r="E6" s="24" t="n">
        <v>2.5</v>
      </c>
      <c r="F6" s="23" t="n">
        <v>2.17</v>
      </c>
      <c r="G6" s="23" t="n">
        <v>99.58069999999999</v>
      </c>
      <c r="H6" s="23" t="n">
        <v>-2.06</v>
      </c>
      <c r="I6" s="23" t="n">
        <v>61.56693582660434</v>
      </c>
      <c r="J6" s="23" t="n">
        <v>2.547141944520961</v>
      </c>
      <c r="K6" s="23" t="n">
        <v>57.21</v>
      </c>
      <c r="L6" s="23" t="n">
        <v>50</v>
      </c>
      <c r="M6" s="23" t="n">
        <v>0.356</v>
      </c>
      <c r="N6" s="23" t="n">
        <v>50</v>
      </c>
      <c r="O6" s="23" t="n">
        <v>22.56</v>
      </c>
      <c r="P6" s="23" t="n">
        <v>1.63</v>
      </c>
      <c r="Q6" s="24" t="n">
        <v>184.18</v>
      </c>
      <c r="R6" s="23" t="n">
        <v>81.437</v>
      </c>
      <c r="S6" s="23" t="n">
        <v>4.2</v>
      </c>
      <c r="T6" s="23" t="n">
        <v>4346.01</v>
      </c>
      <c r="U6" s="23" t="n">
        <v>-0.01</v>
      </c>
      <c r="V6" s="23" t="n">
        <v>-0.09</v>
      </c>
    </row>
    <row r="7">
      <c r="A7" s="22" t="inlineStr">
        <is>
          <t>2026-06-16</t>
        </is>
      </c>
      <c r="B7" s="23" t="n">
        <v>870.5</v>
      </c>
      <c r="C7" s="23" t="n">
        <v>4.88</v>
      </c>
      <c r="D7" s="23" t="n">
        <v>121.0391507537651</v>
      </c>
      <c r="E7" s="24" t="n">
        <v>2.5</v>
      </c>
      <c r="F7" s="23" t="n">
        <v>2.17</v>
      </c>
      <c r="G7" s="23" t="n">
        <v>99.58150000000001</v>
      </c>
      <c r="H7" s="23" t="n">
        <v>-2.06</v>
      </c>
      <c r="I7" s="23" t="n">
        <v>61.57942468471022</v>
      </c>
      <c r="J7" s="23" t="n">
        <v>2.546936813911372</v>
      </c>
      <c r="K7" s="23" t="n">
        <v>57.21</v>
      </c>
      <c r="L7" s="23" t="n">
        <v>50</v>
      </c>
      <c r="M7" s="23" t="n">
        <v>0.356</v>
      </c>
      <c r="N7" s="23" t="n">
        <v>50</v>
      </c>
      <c r="O7" s="23" t="n">
        <v>22.56</v>
      </c>
      <c r="P7" s="23" t="n">
        <v>1.63</v>
      </c>
      <c r="Q7" s="24" t="n">
        <v>184.18</v>
      </c>
      <c r="R7" s="23" t="n">
        <v>81.423</v>
      </c>
      <c r="S7" s="23" t="n">
        <v>4.2</v>
      </c>
      <c r="T7" s="23" t="n">
        <v>4345.66</v>
      </c>
      <c r="U7" s="23" t="n">
        <v>-0.01</v>
      </c>
      <c r="V7" s="23" t="n">
        <v>-0.09</v>
      </c>
    </row>
    <row r="8">
      <c r="A8" s="22" t="inlineStr">
        <is>
          <t>2026-06-16</t>
        </is>
      </c>
      <c r="B8" s="23" t="n">
        <v>870.5</v>
      </c>
      <c r="C8" s="23" t="n">
        <v>4.88</v>
      </c>
      <c r="D8" s="23" t="n">
        <v>121.0391507537651</v>
      </c>
      <c r="E8" s="24" t="n">
        <v>2.5</v>
      </c>
      <c r="F8" s="23" t="n">
        <v>2.17</v>
      </c>
      <c r="G8" s="23" t="n">
        <v>99.6054</v>
      </c>
      <c r="H8" s="23" t="n">
        <v>-2.06</v>
      </c>
      <c r="I8" s="23" t="n">
        <v>61.6081713718258</v>
      </c>
      <c r="J8" s="23" t="n">
        <v>2.545237160289058</v>
      </c>
      <c r="K8" s="23" t="n">
        <v>57.21</v>
      </c>
      <c r="L8" s="23" t="n">
        <v>50</v>
      </c>
      <c r="M8" s="23" t="n">
        <v>0.356</v>
      </c>
      <c r="N8" s="23" t="n">
        <v>50</v>
      </c>
      <c r="O8" s="23" t="n">
        <v>22.56</v>
      </c>
      <c r="P8" s="23" t="n">
        <v>1.63</v>
      </c>
      <c r="Q8" s="24" t="n">
        <v>184.18</v>
      </c>
      <c r="R8" s="23" t="n">
        <v>81.342</v>
      </c>
      <c r="S8" s="23" t="n">
        <v>4.2</v>
      </c>
      <c r="T8" s="23" t="n">
        <v>4342.76</v>
      </c>
      <c r="U8" s="23" t="n">
        <v>-0.01</v>
      </c>
      <c r="V8" s="23" t="n">
        <v>-0.07000000000000001</v>
      </c>
    </row>
    <row r="9">
      <c r="A9" s="22" t="inlineStr">
        <is>
          <t>2026-06-23</t>
        </is>
      </c>
      <c r="B9" s="23" t="n">
        <v>870.5</v>
      </c>
      <c r="C9" s="23" t="n">
        <v>4.88</v>
      </c>
      <c r="D9" s="23" t="n">
        <v>122.7720900641192</v>
      </c>
      <c r="E9" s="24" t="n">
        <v>2.5</v>
      </c>
      <c r="F9" s="23" t="n">
        <v>2.21</v>
      </c>
      <c r="G9" s="23" t="n">
        <v>101.065</v>
      </c>
      <c r="H9" s="23" t="n">
        <v>-1.55</v>
      </c>
      <c r="I9" s="23" t="n">
        <v>65.93630980956952</v>
      </c>
      <c r="J9" s="23" t="n">
        <v>2.41489131008129</v>
      </c>
      <c r="K9" s="23" t="n">
        <v>55.94</v>
      </c>
      <c r="L9" s="23" t="n">
        <v>50</v>
      </c>
      <c r="M9" s="23" t="n">
        <v>0.182</v>
      </c>
      <c r="N9" s="23" t="n">
        <v>50</v>
      </c>
      <c r="O9" s="23" t="n">
        <v>22.52</v>
      </c>
      <c r="P9" s="23" t="n">
        <v>1.59</v>
      </c>
      <c r="Q9" s="24" t="n">
        <v>184.18</v>
      </c>
      <c r="R9" s="23" t="n">
        <v>76.65900000000001</v>
      </c>
      <c r="S9" s="23" t="n">
        <v>4.2</v>
      </c>
      <c r="T9" s="23" t="n">
        <v>4120.36</v>
      </c>
      <c r="U9" s="23" t="n">
        <v>-0.01</v>
      </c>
      <c r="V9" s="23" t="n">
        <v>0.06</v>
      </c>
    </row>
    <row r="10">
      <c r="A10" s="22" t="inlineStr">
        <is>
          <t>2026-06-24</t>
        </is>
      </c>
      <c r="B10" s="23" t="n">
        <v>870.5</v>
      </c>
      <c r="C10" s="23" t="n">
        <v>4.88</v>
      </c>
      <c r="D10" s="23" t="n">
        <v>122.7720900641192</v>
      </c>
      <c r="E10" s="24" t="n">
        <v>2.5</v>
      </c>
      <c r="F10" s="23" t="n">
        <v>2.28</v>
      </c>
      <c r="G10" s="23" t="n">
        <v>101.602</v>
      </c>
      <c r="H10" s="23" t="n">
        <v>-2.15</v>
      </c>
      <c r="I10" s="23" t="n">
        <v>66.57941176470588</v>
      </c>
      <c r="J10" s="23" t="n">
        <v>2.388107113343453</v>
      </c>
      <c r="K10" s="23" t="n">
        <v>50.97</v>
      </c>
      <c r="L10" s="23" t="n">
        <v>50</v>
      </c>
      <c r="M10" s="23" t="n">
        <v>0.2</v>
      </c>
      <c r="N10" s="23" t="n">
        <v>50</v>
      </c>
      <c r="O10" s="23" t="n">
        <v>23.87</v>
      </c>
      <c r="P10" s="23" t="n">
        <v>1.6</v>
      </c>
      <c r="Q10" s="24" t="n">
        <v>184.18</v>
      </c>
      <c r="R10" s="23" t="n">
        <v>75.508</v>
      </c>
      <c r="S10" s="23" t="n">
        <v>4.2</v>
      </c>
      <c r="T10" s="23" t="n">
        <v>4074.66</v>
      </c>
      <c r="U10" s="23" t="n">
        <v>-0.01</v>
      </c>
      <c r="V10" s="23" t="n">
        <v>0.22</v>
      </c>
    </row>
    <row r="11">
      <c r="A11" s="22" t="n"/>
      <c r="B11" s="23" t="n"/>
      <c r="C11" s="23" t="n"/>
      <c r="D11" s="23" t="n"/>
      <c r="E11" s="24" t="n"/>
      <c r="F11" s="23" t="n"/>
      <c r="G11" s="23" t="n"/>
      <c r="H11" s="23" t="n"/>
      <c r="I11" s="23" t="n"/>
      <c r="J11" s="23" t="n"/>
      <c r="K11" s="23" t="n"/>
      <c r="L11" s="23" t="n"/>
      <c r="M11" s="23" t="n"/>
      <c r="N11" s="23" t="n"/>
      <c r="O11" s="23" t="n"/>
      <c r="P11" s="23" t="n"/>
      <c r="Q11" s="24" t="n"/>
      <c r="R11" s="23" t="n"/>
      <c r="S11" s="23" t="n"/>
      <c r="T11" s="23" t="n"/>
      <c r="U11" s="23" t="n"/>
      <c r="V11" s="23" t="n"/>
    </row>
    <row r="12">
      <c r="A12" s="22" t="n"/>
      <c r="B12" s="23" t="n"/>
      <c r="C12" s="23" t="n"/>
      <c r="D12" s="23" t="n"/>
      <c r="E12" s="24" t="n"/>
      <c r="F12" s="23" t="n"/>
      <c r="G12" s="23" t="n"/>
      <c r="H12" s="23" t="n"/>
      <c r="I12" s="23" t="n"/>
      <c r="J12" s="23" t="n"/>
      <c r="K12" s="23" t="n"/>
      <c r="L12" s="23" t="n"/>
      <c r="M12" s="23" t="n"/>
      <c r="N12" s="23" t="n"/>
      <c r="O12" s="23" t="n"/>
      <c r="P12" s="23" t="n"/>
      <c r="Q12" s="24" t="n"/>
      <c r="R12" s="23" t="n"/>
      <c r="S12" s="23" t="n"/>
      <c r="T12" s="23" t="n"/>
      <c r="U12" s="23" t="n"/>
      <c r="V12" s="23" t="n"/>
    </row>
    <row r="13">
      <c r="A13" s="22" t="n"/>
      <c r="B13" s="23" t="n"/>
      <c r="C13" s="23" t="n"/>
      <c r="D13" s="23" t="n"/>
      <c r="E13" s="24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  <c r="O13" s="23" t="n"/>
      <c r="P13" s="23" t="n"/>
      <c r="Q13" s="24" t="n"/>
      <c r="R13" s="23" t="n"/>
      <c r="S13" s="23" t="n"/>
      <c r="T13" s="23" t="n"/>
      <c r="U13" s="23" t="n"/>
      <c r="V13" s="23" t="n"/>
    </row>
    <row r="14">
      <c r="A14" s="22" t="n"/>
      <c r="B14" s="23" t="n"/>
      <c r="C14" s="23" t="n"/>
      <c r="D14" s="23" t="n"/>
      <c r="E14" s="24" t="n"/>
      <c r="F14" s="23" t="n"/>
      <c r="G14" s="23" t="n"/>
      <c r="H14" s="23" t="n"/>
      <c r="I14" s="23" t="n"/>
      <c r="J14" s="23" t="n"/>
      <c r="K14" s="23" t="n"/>
      <c r="L14" s="23" t="n"/>
      <c r="M14" s="23" t="n"/>
      <c r="N14" s="23" t="n"/>
      <c r="O14" s="23" t="n"/>
      <c r="P14" s="23" t="n"/>
      <c r="Q14" s="24" t="n"/>
      <c r="R14" s="23" t="n"/>
      <c r="S14" s="23" t="n"/>
      <c r="T14" s="23" t="n"/>
      <c r="U14" s="23" t="n"/>
      <c r="V14" s="23" t="n"/>
    </row>
    <row r="15">
      <c r="A15" s="22" t="n"/>
      <c r="B15" s="23" t="n"/>
      <c r="C15" s="23" t="n"/>
      <c r="D15" s="23" t="n"/>
      <c r="E15" s="24" t="n"/>
      <c r="F15" s="23" t="n"/>
      <c r="G15" s="23" t="n"/>
      <c r="H15" s="23" t="n"/>
      <c r="I15" s="23" t="n"/>
      <c r="J15" s="23" t="n"/>
      <c r="K15" s="23" t="n"/>
      <c r="L15" s="23" t="n"/>
      <c r="M15" s="23" t="n"/>
      <c r="N15" s="23" t="n"/>
      <c r="O15" s="23" t="n"/>
      <c r="P15" s="23" t="n"/>
      <c r="Q15" s="24" t="n"/>
      <c r="R15" s="23" t="n"/>
      <c r="S15" s="23" t="n"/>
      <c r="T15" s="23" t="n"/>
      <c r="U15" s="23" t="n"/>
      <c r="V15" s="23" t="n"/>
    </row>
    <row r="16">
      <c r="A16" s="22" t="n"/>
      <c r="B16" s="23" t="n"/>
      <c r="C16" s="23" t="n"/>
      <c r="D16" s="23" t="n"/>
      <c r="E16" s="24" t="n"/>
      <c r="F16" s="23" t="n"/>
      <c r="G16" s="23" t="n"/>
      <c r="H16" s="23" t="n"/>
      <c r="I16" s="23" t="n"/>
      <c r="J16" s="23" t="n"/>
      <c r="K16" s="23" t="n"/>
      <c r="L16" s="23" t="n"/>
      <c r="M16" s="23" t="n"/>
      <c r="N16" s="23" t="n"/>
      <c r="O16" s="23" t="n"/>
      <c r="P16" s="23" t="n"/>
      <c r="Q16" s="24" t="n"/>
      <c r="R16" s="23" t="n"/>
      <c r="S16" s="23" t="n"/>
      <c r="T16" s="23" t="n"/>
      <c r="U16" s="23" t="n"/>
      <c r="V16" s="23" t="n"/>
    </row>
    <row r="17">
      <c r="A17" s="22" t="n"/>
      <c r="B17" s="23" t="n"/>
      <c r="C17" s="23" t="n"/>
      <c r="D17" s="23" t="n"/>
      <c r="E17" s="24" t="n"/>
      <c r="F17" s="23" t="n"/>
      <c r="G17" s="23" t="n"/>
      <c r="H17" s="23" t="n"/>
      <c r="I17" s="23" t="n"/>
      <c r="J17" s="23" t="n"/>
      <c r="K17" s="23" t="n"/>
      <c r="L17" s="23" t="n"/>
      <c r="M17" s="23" t="n"/>
      <c r="N17" s="23" t="n"/>
      <c r="O17" s="23" t="n"/>
      <c r="P17" s="23" t="n"/>
      <c r="Q17" s="24" t="n"/>
      <c r="R17" s="23" t="n"/>
      <c r="S17" s="23" t="n"/>
      <c r="T17" s="23" t="n"/>
      <c r="U17" s="23" t="n"/>
      <c r="V17" s="23" t="n"/>
    </row>
    <row r="18">
      <c r="A18" s="22" t="n"/>
      <c r="B18" s="23" t="n"/>
      <c r="C18" s="23" t="n"/>
      <c r="D18" s="23" t="n"/>
      <c r="E18" s="24" t="n"/>
      <c r="F18" s="23" t="n"/>
      <c r="G18" s="23" t="n"/>
      <c r="H18" s="23" t="n"/>
      <c r="I18" s="23" t="n"/>
      <c r="J18" s="23" t="n"/>
      <c r="K18" s="23" t="n"/>
      <c r="L18" s="23" t="n"/>
      <c r="M18" s="23" t="n"/>
      <c r="N18" s="23" t="n"/>
      <c r="O18" s="23" t="n"/>
      <c r="P18" s="23" t="n"/>
      <c r="Q18" s="24" t="n"/>
      <c r="R18" s="23" t="n"/>
      <c r="S18" s="23" t="n"/>
      <c r="T18" s="23" t="n"/>
      <c r="U18" s="23" t="n"/>
      <c r="V18" s="23" t="n"/>
    </row>
    <row r="19">
      <c r="A19" s="22" t="n"/>
      <c r="B19" s="23" t="n"/>
      <c r="C19" s="23" t="n"/>
      <c r="D19" s="23" t="n"/>
      <c r="E19" s="24" t="n"/>
      <c r="F19" s="23" t="n"/>
      <c r="G19" s="23" t="n"/>
      <c r="H19" s="23" t="n"/>
      <c r="I19" s="23" t="n"/>
      <c r="J19" s="23" t="n"/>
      <c r="K19" s="23" t="n"/>
      <c r="L19" s="23" t="n"/>
      <c r="M19" s="23" t="n"/>
      <c r="N19" s="23" t="n"/>
      <c r="O19" s="23" t="n"/>
      <c r="P19" s="23" t="n"/>
      <c r="Q19" s="24" t="n"/>
      <c r="R19" s="23" t="n"/>
      <c r="S19" s="23" t="n"/>
      <c r="T19" s="23" t="n"/>
      <c r="U19" s="23" t="n"/>
      <c r="V19" s="23" t="n"/>
    </row>
    <row r="20">
      <c r="A20" s="22" t="n"/>
      <c r="B20" s="23" t="n"/>
      <c r="C20" s="23" t="n"/>
      <c r="D20" s="23" t="n"/>
      <c r="E20" s="24" t="n"/>
      <c r="F20" s="23" t="n"/>
      <c r="G20" s="23" t="n"/>
      <c r="H20" s="23" t="n"/>
      <c r="I20" s="23" t="n"/>
      <c r="J20" s="23" t="n"/>
      <c r="K20" s="23" t="n"/>
      <c r="L20" s="23" t="n"/>
      <c r="M20" s="23" t="n"/>
      <c r="N20" s="23" t="n"/>
      <c r="O20" s="23" t="n"/>
      <c r="P20" s="23" t="n"/>
      <c r="Q20" s="24" t="n"/>
      <c r="R20" s="23" t="n"/>
      <c r="S20" s="23" t="n"/>
      <c r="T20" s="23" t="n"/>
      <c r="U20" s="23" t="n"/>
      <c r="V20" s="23" t="n"/>
    </row>
    <row r="21">
      <c r="A21" s="22" t="n"/>
      <c r="B21" s="23" t="n"/>
      <c r="C21" s="23" t="n"/>
      <c r="D21" s="23" t="n"/>
      <c r="E21" s="24" t="n"/>
      <c r="F21" s="23" t="n"/>
      <c r="G21" s="23" t="n"/>
      <c r="H21" s="23" t="n"/>
      <c r="I21" s="23" t="n"/>
      <c r="J21" s="23" t="n"/>
      <c r="K21" s="23" t="n"/>
      <c r="L21" s="23" t="n"/>
      <c r="M21" s="23" t="n"/>
      <c r="N21" s="23" t="n"/>
      <c r="O21" s="23" t="n"/>
      <c r="P21" s="23" t="n"/>
      <c r="Q21" s="24" t="n"/>
      <c r="R21" s="23" t="n"/>
      <c r="S21" s="23" t="n"/>
      <c r="T21" s="23" t="n"/>
      <c r="U21" s="23" t="n"/>
      <c r="V21" s="23" t="n"/>
    </row>
    <row r="22">
      <c r="A22" s="22" t="n"/>
      <c r="B22" s="23" t="n"/>
      <c r="C22" s="23" t="n"/>
      <c r="D22" s="23" t="n"/>
      <c r="E22" s="24" t="n"/>
      <c r="F22" s="23" t="n"/>
      <c r="G22" s="23" t="n"/>
      <c r="H22" s="23" t="n"/>
      <c r="I22" s="23" t="n"/>
      <c r="J22" s="23" t="n"/>
      <c r="K22" s="23" t="n"/>
      <c r="L22" s="23" t="n"/>
      <c r="M22" s="23" t="n"/>
      <c r="N22" s="23" t="n"/>
      <c r="O22" s="23" t="n"/>
      <c r="P22" s="23" t="n"/>
      <c r="Q22" s="24" t="n"/>
      <c r="R22" s="23" t="n"/>
      <c r="S22" s="23" t="n"/>
      <c r="T22" s="23" t="n"/>
      <c r="U22" s="23" t="n"/>
      <c r="V22" s="23" t="n"/>
    </row>
    <row r="25">
      <c r="A25" t="inlineStr">
        <is>
          <t>数据说明：</t>
        </is>
      </c>
    </row>
    <row r="26">
      <c r="A26" t="inlineStr">
        <is>
          <t>MACD背离: 100=底背离, 50=无背离, 0=顶背离</t>
        </is>
      </c>
    </row>
    <row r="27">
      <c r="A27" t="inlineStr">
        <is>
          <t>布林带状态: 100=触下轨扩口, 50=中性, 0=触上轨扩口</t>
        </is>
      </c>
    </row>
    <row r="28">
      <c r="A28" t="inlineStr">
        <is>
          <t>Fed预期差: 正数=预期降息bp, 负数=预期加息bp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C5" sqref="C5"/>
    </sheetView>
  </sheetViews>
  <sheetFormatPr baseColWidth="8" defaultRowHeight="13.5"/>
  <cols>
    <col width="18" customWidth="1" min="1" max="6"/>
  </cols>
  <sheetData>
    <row r="1">
      <c r="A1" t="inlineStr">
        <is>
          <t>引用数据收集表最新一行 (最后一行有数据的行)</t>
        </is>
      </c>
    </row>
    <row r="2">
      <c r="A2" t="inlineStr">
        <is>
          <t>当前引用行: =MAX(IF(数据收集总表!A3:A22&lt;&gt;"",ROW(数据收集总表!A3:A22)))</t>
        </is>
      </c>
    </row>
    <row r="4" ht="15" customHeight="1">
      <c r="A4" s="1" t="inlineStr">
        <is>
          <t>因子</t>
        </is>
      </c>
      <c r="B4" s="1" t="inlineStr">
        <is>
          <t>权重</t>
        </is>
      </c>
      <c r="C4" s="1" t="inlineStr">
        <is>
          <t>当前值</t>
        </is>
      </c>
      <c r="D4" s="1" t="inlineStr">
        <is>
          <t>编码(+1/0/-1)</t>
        </is>
      </c>
      <c r="E4" s="1" t="inlineStr">
        <is>
          <t>得分贡献</t>
        </is>
      </c>
      <c r="F4" s="1" t="inlineStr">
        <is>
          <t>阈值说明</t>
        </is>
      </c>
    </row>
    <row r="5" ht="30" customHeight="1">
      <c r="A5" s="10" t="inlineStr">
        <is>
          <t>央行购金(吨)</t>
        </is>
      </c>
      <c r="B5" s="10" t="inlineStr">
        <is>
          <t>30%</t>
        </is>
      </c>
      <c r="C5" s="10">
        <f>LOOKUP(2,1/(数据收集总表!B3:B31&lt;&gt;""),数据收集总表!B3:B31)</f>
        <v/>
      </c>
      <c r="D5" s="10">
        <f>IF(C5&gt;900,1,IF(C5&gt;=600,0,-1))</f>
        <v/>
      </c>
      <c r="E5" s="10">
        <f>D5*VALUE(SUBSTITUTE(B5,"%",""))/100</f>
        <v/>
      </c>
      <c r="F5" s="10" t="inlineStr">
        <is>
          <t>&gt;900=+1, 600-900=0, &lt;600=-1</t>
        </is>
      </c>
    </row>
    <row r="6" ht="30" customHeight="1">
      <c r="A6" s="10" t="inlineStr">
        <is>
          <t>M2同比增速(%)</t>
        </is>
      </c>
      <c r="B6" s="10" t="inlineStr">
        <is>
          <t>25%</t>
        </is>
      </c>
      <c r="C6" s="10">
        <f>LOOKUP(2,1/(数据收集总表!C3:C31&lt;&gt;""),数据收集总表!C3:C31)</f>
        <v/>
      </c>
      <c r="D6" s="10">
        <f>IF(C6&gt;6,1,IF(C6&gt;=0,0,-1))</f>
        <v/>
      </c>
      <c r="E6" s="10">
        <f>D6*VALUE(SUBSTITUTE(B6,"%",""))/100</f>
        <v/>
      </c>
      <c r="F6" s="10" t="inlineStr">
        <is>
          <t>&gt;6%=+1, 0%-6%=0, &lt;0%=-1</t>
        </is>
      </c>
    </row>
    <row r="7" ht="30" customHeight="1">
      <c r="A7" s="10" t="inlineStr">
        <is>
          <t>美债/GDP比率(%)</t>
        </is>
      </c>
      <c r="B7" s="10" t="inlineStr">
        <is>
          <t>15%</t>
        </is>
      </c>
      <c r="C7" s="10">
        <f>LOOKUP(2,1/(数据收集总表!D3:D31&lt;&gt;""),数据收集总表!D3:D31)</f>
        <v/>
      </c>
      <c r="D7" s="10">
        <f>IF(C7&gt;120,1,IF(C7&gt;=100,0,-1))</f>
        <v/>
      </c>
      <c r="E7" s="10">
        <f>D7*VALUE(SUBSTITUTE(B7,"%",""))/100</f>
        <v/>
      </c>
      <c r="F7" s="10" t="inlineStr">
        <is>
          <t>&gt;120%=+1, 100%-120%=0, &lt;100%=-1</t>
        </is>
      </c>
    </row>
    <row r="8" ht="30" customHeight="1">
      <c r="A8" s="10" t="inlineStr">
        <is>
          <t>Fed预期差(bp)</t>
        </is>
      </c>
      <c r="B8" s="10" t="inlineStr">
        <is>
          <t>15%</t>
        </is>
      </c>
      <c r="C8" s="10">
        <f>LOOKUP(2,1/(数据收集总表!E3:E31&lt;&gt;""),数据收集总表!E3:E31)</f>
        <v/>
      </c>
      <c r="D8" s="10">
        <f>IF(C8&gt;50,1,IF(C8&lt;-50,-1,0))</f>
        <v/>
      </c>
      <c r="E8" s="10">
        <f>D8*VALUE(SUBSTITUTE(B8,"%",""))/100</f>
        <v/>
      </c>
      <c r="F8" s="10" t="inlineStr">
        <is>
          <t>降息&gt;50bp=+1, 中间=0, 加息=-1</t>
        </is>
      </c>
    </row>
    <row r="9" ht="45" customHeight="1">
      <c r="A9" s="10" t="inlineStr">
        <is>
          <t>10Y TIPS(%)</t>
        </is>
      </c>
      <c r="B9" s="10" t="inlineStr">
        <is>
          <t>10%</t>
        </is>
      </c>
      <c r="C9" s="10">
        <f>LOOKUP(2,1/(数据收集总表!F3:F31&lt;&gt;""),数据收集总表!F3:F31)</f>
        <v/>
      </c>
      <c r="D9" s="10">
        <f>IF(C9&lt;-0.5,1,IF(C9&lt;=1.5,0,-1))</f>
        <v/>
      </c>
      <c r="E9" s="10">
        <f>D9*VALUE(SUBSTITUTE(B9,"%",""))/100</f>
        <v/>
      </c>
      <c r="F9" s="10" t="inlineStr">
        <is>
          <t>&lt;-0.5%=+1, -0.5%~1.5%=0, &gt;1.5%=-1</t>
        </is>
      </c>
    </row>
    <row r="10" ht="30" customHeight="1">
      <c r="A10" s="10" t="inlineStr">
        <is>
          <t>DXY</t>
        </is>
      </c>
      <c r="B10" s="10" t="inlineStr">
        <is>
          <t>5%</t>
        </is>
      </c>
      <c r="C10" s="10">
        <f>LOOKUP(2,1/(数据收集总表!G3:G31&lt;&gt;""),数据收集总表!G3:G31)</f>
        <v/>
      </c>
      <c r="D10" s="10">
        <f>IF(C10&lt;95,1,IF(C10&lt;=105,0,-1))</f>
        <v/>
      </c>
      <c r="E10" s="10">
        <f>D10*VALUE(SUBSTITUTE(B10,"%",""))/100</f>
        <v/>
      </c>
      <c r="F10" s="10" t="inlineStr">
        <is>
          <t>&lt;95=+1, 95-105=0, &gt;105=-1</t>
        </is>
      </c>
    </row>
    <row r="11" ht="15" customHeight="1">
      <c r="A11" s="11" t="inlineStr">
        <is>
          <t>S_macro 合计</t>
        </is>
      </c>
      <c r="B11" s="10" t="inlineStr">
        <is>
          <t>100%</t>
        </is>
      </c>
      <c r="C11" s="10" t="n"/>
      <c r="D11" s="10" t="n"/>
      <c r="E11" s="10">
        <f>SUM(E5:E10)</f>
        <v/>
      </c>
      <c r="F11" s="1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ETF持仓4周变化(%)</t>
        </is>
      </c>
      <c r="B2" s="10" t="inlineStr">
        <is>
          <t>40%</t>
        </is>
      </c>
      <c r="C2" s="10">
        <f>LOOKUP(2,1/(数据收集总表!H3:H31&lt;&gt;""),数据收集总表!H3:H31)</f>
        <v/>
      </c>
      <c r="D2" s="10">
        <f>IF(C2&gt;=2,100,IF(C2&lt;=-2,0,(C2+2)*25))</f>
        <v/>
      </c>
      <c r="E2" s="10">
        <f>D2*VALUE(SUBSTITUTE(B2,"%",""))/100</f>
        <v/>
      </c>
      <c r="F2" s="10" t="inlineStr">
        <is>
          <t>≥+2%=100, ≤-2%=0, 线性插值</t>
        </is>
      </c>
    </row>
    <row r="3" ht="30" customHeight="1">
      <c r="A3" s="10" t="inlineStr">
        <is>
          <t>金银比</t>
        </is>
      </c>
      <c r="B3" s="10" t="inlineStr">
        <is>
          <t>35%</t>
        </is>
      </c>
      <c r="C3" s="10">
        <f>LOOKUP(2,1/(数据收集总表!I3:I31&lt;&gt;""),数据收集总表!I3:I31)</f>
        <v/>
      </c>
      <c r="D3" s="10">
        <f>IF(C3&lt;=60,100,IF(C3&gt;=100,0,(100-C3)*2.5))</f>
        <v/>
      </c>
      <c r="E3" s="10">
        <f>D3*VALUE(SUBSTITUTE(B3,"%",""))/100</f>
        <v/>
      </c>
      <c r="F3" s="10" t="inlineStr">
        <is>
          <t>≤60=100, ≥100=0, 线性插值</t>
        </is>
      </c>
    </row>
    <row r="4" ht="30" customHeight="1">
      <c r="A4" s="10" t="inlineStr">
        <is>
          <t>金价/AISC</t>
        </is>
      </c>
      <c r="B4" s="10" t="inlineStr">
        <is>
          <t>25%</t>
        </is>
      </c>
      <c r="C4" s="10">
        <f>LOOKUP(2,1/(数据收集总表!J3:J31&lt;&gt;""),数据收集总表!J3:J31)</f>
        <v/>
      </c>
      <c r="D4" s="10">
        <f>IF(C4&lt;=1.5,100,IF(C4&gt;=2.5,0,(2.5-C4)*100))</f>
        <v/>
      </c>
      <c r="E4" s="10">
        <f>D4*VALUE(SUBSTITUTE(B4,"%",""))/100</f>
        <v/>
      </c>
      <c r="F4" s="10" t="inlineStr">
        <is>
          <t>≤1.5=100, ≥2.5=0, 线性插值</t>
        </is>
      </c>
    </row>
    <row r="5" ht="15" customHeight="1">
      <c r="A5" s="11" t="inlineStr">
        <is>
          <t>验证层总分 V</t>
        </is>
      </c>
      <c r="B5" s="10" t="n"/>
      <c r="C5" s="10" t="n"/>
      <c r="D5" s="10">
        <f>SUM(E2:E4)</f>
        <v/>
      </c>
      <c r="E5" s="10" t="n"/>
      <c r="F5" s="10" t="n"/>
    </row>
    <row r="6" ht="15" customHeight="1">
      <c r="A6" s="11" t="inlineStr">
        <is>
          <t>K_verif</t>
        </is>
      </c>
      <c r="B6" s="10" t="n"/>
      <c r="C6" s="10" t="n"/>
      <c r="D6" s="10">
        <f>D5/100+0.5</f>
        <v/>
      </c>
      <c r="E6" s="10" t="n"/>
      <c r="F6" s="1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RSI14</t>
        </is>
      </c>
      <c r="B2" s="10" t="inlineStr">
        <is>
          <t>30%</t>
        </is>
      </c>
      <c r="C2" s="10">
        <f>LOOKUP(2,1/(数据收集总表!K3:K31&lt;&gt;""),数据收集总表!K3:K31)</f>
        <v/>
      </c>
      <c r="D2" s="10">
        <f>IF(C2&lt;=30,100,IF(C2&gt;=70,0,(70-C2)*2.5))</f>
        <v/>
      </c>
      <c r="E2" s="10">
        <f>D2*VALUE(SUBSTITUTE(B2,"%",""))/100</f>
        <v/>
      </c>
      <c r="F2" s="10" t="inlineStr">
        <is>
          <t>≤30=100, 30-70递减, ≥70=0</t>
        </is>
      </c>
    </row>
    <row r="3" ht="30" customHeight="1">
      <c r="A3" s="10" t="inlineStr">
        <is>
          <t>MACD背离</t>
        </is>
      </c>
      <c r="B3" s="10" t="inlineStr">
        <is>
          <t>25%</t>
        </is>
      </c>
      <c r="C3" s="10">
        <f>LOOKUP(2,1/(数据收集总表!L3:L31&lt;&gt;""),数据收集总表!L3:L31)</f>
        <v/>
      </c>
      <c r="D3" s="10">
        <f>C3</f>
        <v/>
      </c>
      <c r="E3" s="10">
        <f>D3*VALUE(SUBSTITUTE(B3,"%",""))/100</f>
        <v/>
      </c>
      <c r="F3" s="10" t="inlineStr">
        <is>
          <t>底背离=100, 无=50, 顶背离=0</t>
        </is>
      </c>
    </row>
    <row r="4" ht="30" customHeight="1">
      <c r="A4" s="10" t="inlineStr">
        <is>
          <t>20日均线斜率(%)</t>
        </is>
      </c>
      <c r="B4" s="10" t="inlineStr">
        <is>
          <t>25%</t>
        </is>
      </c>
      <c r="C4" s="10">
        <f>LOOKUP(2,1/(数据收集总表!M3:M31&lt;&gt;""),数据收集总表!M3:M31)</f>
        <v/>
      </c>
      <c r="D4" s="10">
        <f>IF(C4&gt;=0.5,100,IF(C4&lt;=-0.5,0,(C4+0.5)*100))</f>
        <v/>
      </c>
      <c r="E4" s="10">
        <f>D4*VALUE(SUBSTITUTE(B4,"%",""))/100</f>
        <v/>
      </c>
      <c r="F4" s="10" t="inlineStr">
        <is>
          <t>≥+0.5%=100, ≤-0.5%=0, 线性插值</t>
        </is>
      </c>
    </row>
    <row r="5" ht="45" customHeight="1">
      <c r="A5" s="10" t="inlineStr">
        <is>
          <t>布林带状态</t>
        </is>
      </c>
      <c r="B5" s="10" t="inlineStr">
        <is>
          <t>20%</t>
        </is>
      </c>
      <c r="C5" s="10">
        <f>LOOKUP(2,1/(数据收集总表!N3:N31&lt;&gt;""),数据收集总表!N3:N31)</f>
        <v/>
      </c>
      <c r="D5" s="10">
        <f>C5</f>
        <v/>
      </c>
      <c r="E5" s="10">
        <f>D5*VALUE(SUBSTITUTE(B5,"%",""))/100</f>
        <v/>
      </c>
      <c r="F5" s="10" t="inlineStr">
        <is>
          <t>触下轨扩口=100, 触上轨扩口=0, 其他=50</t>
        </is>
      </c>
    </row>
    <row r="6" ht="15" customHeight="1">
      <c r="A6" s="11" t="inlineStr">
        <is>
          <t>趋势层总分 T</t>
        </is>
      </c>
      <c r="B6" s="10" t="n"/>
      <c r="C6" s="10" t="n"/>
      <c r="D6" s="10">
        <f>SUM(E2:E5)</f>
        <v/>
      </c>
      <c r="E6" s="10" t="n"/>
      <c r="F6" s="10" t="n"/>
    </row>
    <row r="7" ht="15" customHeight="1">
      <c r="A7" s="11" t="inlineStr">
        <is>
          <t>K_trend</t>
        </is>
      </c>
      <c r="B7" s="10" t="n"/>
      <c r="C7" s="10" t="n"/>
      <c r="D7" s="10">
        <f>1+(D6/100-0.5)*0.4</f>
        <v/>
      </c>
      <c r="E7" s="10" t="n"/>
      <c r="F7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2"/>
  <sheetViews>
    <sheetView tabSelected="1" workbookViewId="0">
      <selection activeCell="L7" sqref="L7"/>
    </sheetView>
  </sheetViews>
  <sheetFormatPr baseColWidth="8" defaultRowHeight="13.5"/>
  <cols>
    <col width="20" customWidth="1" min="1" max="5"/>
  </cols>
  <sheetData>
    <row r="1" ht="15.75" customHeight="1">
      <c r="A1" s="12" t="inlineStr">
        <is>
          <t>K_liquidity 计算</t>
        </is>
      </c>
    </row>
    <row r="3">
      <c r="A3" s="13" t="inlineStr">
        <is>
          <t>当前VIX</t>
        </is>
      </c>
      <c r="B3" s="14">
        <f>LOOKUP(2,1/(数据收集总表!O3:O31&lt;&gt;""),数据收集总表!O3:O31)</f>
        <v/>
      </c>
    </row>
    <row r="4">
      <c r="A4" s="13" t="inlineStr">
        <is>
          <t>当前信用利差(%)</t>
        </is>
      </c>
      <c r="B4" s="14">
        <f>LOOKUP(2,1/(数据收集总表!P3:P31&lt;&gt;""),数据收集总表!P3:P31)</f>
        <v/>
      </c>
    </row>
    <row r="5">
      <c r="A5" s="13" t="inlineStr">
        <is>
          <t>K_liquidity</t>
        </is>
      </c>
      <c r="B5" s="14">
        <f>IF(B3&gt;=35,0.5,IF(B3&gt;=25,IF(B4&gt;=3,0.7,0.8),IF(B3&gt;=15,IF(B4&gt;=3,0.9,1),IF(B4&gt;=3,1,1.2))))</f>
        <v/>
      </c>
    </row>
    <row r="8" ht="15.75" customHeight="1">
      <c r="A8" s="12" t="inlineStr">
        <is>
          <t>K_geo 计算</t>
        </is>
      </c>
    </row>
    <row r="10">
      <c r="A10" s="13" t="inlineStr">
        <is>
          <t>当前GPR</t>
        </is>
      </c>
      <c r="B10" s="13">
        <f>LOOKUP(2,1/(数据收集总表!Q3:Q31&lt;&gt;""),数据收集总表!Q3:Q31)</f>
        <v/>
      </c>
      <c r="C10" t="n">
        <v>120</v>
      </c>
      <c r="D10" t="n">
        <v>100</v>
      </c>
    </row>
    <row r="11">
      <c r="A11" s="13" t="inlineStr">
        <is>
          <t>当前布油($)</t>
        </is>
      </c>
      <c r="B11" s="13">
        <f>LOOKUP(2,1/(数据收集总表!R3:R31&lt;&gt;""),数据收集总表!R3:R31)</f>
        <v/>
      </c>
      <c r="C11" t="n">
        <v>120</v>
      </c>
      <c r="D11" t="n">
        <v>100</v>
      </c>
    </row>
    <row r="12">
      <c r="A12" s="13" t="inlineStr">
        <is>
          <t>当前CPI(%)</t>
        </is>
      </c>
      <c r="B12" s="13">
        <f>LOOKUP(2,1/(数据收集总表!S3:S31&lt;&gt;""),数据收集总表!S3:S31)</f>
        <v/>
      </c>
    </row>
    <row r="13">
      <c r="A13" s="13" t="inlineStr">
        <is>
          <t>Fed编码</t>
        </is>
      </c>
      <c r="B13" s="13">
        <f>宏观信号计算表!D8</f>
        <v/>
      </c>
    </row>
    <row r="14">
      <c r="A14" s="13" t="n"/>
      <c r="B14" s="13" t="n"/>
    </row>
    <row r="15">
      <c r="A15" s="13" t="inlineStr">
        <is>
          <t>K_geo</t>
        </is>
      </c>
      <c r="B15" s="14">
        <f>IF(B10&gt;C10,IF(B11&gt;C11,IF(B12&gt;4,1.2,IF(B13=-1,0.95,1.1)),IF(B11&gt;D11,IF(B13=-1,0.95,1.1),1.1)),IF(B10&gt;D10,IF(B11&gt;C11,IF(B12&gt;4,1,IF(B13=-1,0.98,1.05)),IF(B11&gt;D11,IF(B13=-1,0.98,1.05),1.05)),1))</f>
        <v/>
      </c>
    </row>
    <row r="18">
      <c r="A18" t="inlineStr">
        <is>
          <t>K_geo 查表矩阵 (参考)</t>
        </is>
      </c>
    </row>
    <row r="19" ht="30" customHeight="1">
      <c r="A19" s="1" t="inlineStr">
        <is>
          <t>GPR连续3月</t>
        </is>
      </c>
      <c r="B19" s="1" t="inlineStr">
        <is>
          <t>布油&gt;$120+CPI&gt;4%</t>
        </is>
      </c>
      <c r="C19" s="1" t="inlineStr">
        <is>
          <t>布油$100-120+Fed=-1</t>
        </is>
      </c>
      <c r="D19" s="1" t="inlineStr">
        <is>
          <t>布油$100-120+Fed=0/+1</t>
        </is>
      </c>
      <c r="E19" s="1" t="inlineStr">
        <is>
          <t>布油&lt;$100</t>
        </is>
      </c>
    </row>
    <row r="20">
      <c r="A20" s="10" t="inlineStr">
        <is>
          <t>&gt;120</t>
        </is>
      </c>
      <c r="B20" s="10" t="inlineStr">
        <is>
          <t>1.20</t>
        </is>
      </c>
      <c r="C20" s="10" t="inlineStr">
        <is>
          <t>0.95</t>
        </is>
      </c>
      <c r="D20" s="10" t="inlineStr">
        <is>
          <t>1.10</t>
        </is>
      </c>
      <c r="E20" s="10" t="inlineStr">
        <is>
          <t>1.10</t>
        </is>
      </c>
    </row>
    <row r="21">
      <c r="A21" s="10" t="inlineStr">
        <is>
          <t>100-120</t>
        </is>
      </c>
      <c r="B21" s="10" t="inlineStr">
        <is>
          <t>—</t>
        </is>
      </c>
      <c r="C21" s="10" t="inlineStr">
        <is>
          <t>0.98</t>
        </is>
      </c>
      <c r="D21" s="10" t="inlineStr">
        <is>
          <t>1.05</t>
        </is>
      </c>
      <c r="E21" s="10" t="inlineStr">
        <is>
          <t>1.05</t>
        </is>
      </c>
    </row>
    <row r="22">
      <c r="A22" s="10" t="inlineStr">
        <is>
          <t>≤100</t>
        </is>
      </c>
      <c r="B22" s="10" t="inlineStr">
        <is>
          <t>1.00</t>
        </is>
      </c>
      <c r="C22" s="10" t="inlineStr">
        <is>
          <t>1.00</t>
        </is>
      </c>
      <c r="D22" s="10" t="inlineStr">
        <is>
          <t>1.00</t>
        </is>
      </c>
      <c r="E22" s="10" t="inlineStr">
        <is>
          <t>1.00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B23" sqref="B23"/>
    </sheetView>
  </sheetViews>
  <sheetFormatPr baseColWidth="8" defaultRowHeight="13.5"/>
  <cols>
    <col width="18" customWidth="1" min="1" max="4"/>
  </cols>
  <sheetData>
    <row r="1" ht="15.75" customHeight="1">
      <c r="A1" s="12" t="inlineStr">
        <is>
          <t>最终信号生成</t>
        </is>
      </c>
    </row>
    <row r="3" ht="15" customHeight="1">
      <c r="A3" s="1" t="inlineStr">
        <is>
          <t>计算步骤</t>
        </is>
      </c>
      <c r="B3" s="1" t="inlineStr">
        <is>
          <t>因子</t>
        </is>
      </c>
      <c r="C3" s="1" t="inlineStr">
        <is>
          <t>数值</t>
        </is>
      </c>
      <c r="D3" s="1" t="inlineStr">
        <is>
          <t>公式说明</t>
        </is>
      </c>
    </row>
    <row r="4">
      <c r="A4" s="10" t="inlineStr">
        <is>
          <t>第1步</t>
        </is>
      </c>
      <c r="B4" s="10" t="inlineStr">
        <is>
          <t>S_macro</t>
        </is>
      </c>
      <c r="C4" s="10">
        <f>宏观信号计算表!E11</f>
        <v/>
      </c>
      <c r="D4" s="10" t="inlineStr">
        <is>
          <t>宏观驱动信号</t>
        </is>
      </c>
    </row>
    <row r="5">
      <c r="A5" s="10" t="inlineStr">
        <is>
          <t>第2步</t>
        </is>
      </c>
      <c r="B5" s="10" t="inlineStr">
        <is>
          <t>K_verif</t>
        </is>
      </c>
      <c r="C5" s="10">
        <f>验证层计算表!D6</f>
        <v/>
      </c>
      <c r="D5" s="10" t="inlineStr">
        <is>
          <t>市场验证乘数</t>
        </is>
      </c>
    </row>
    <row r="6">
      <c r="A6" s="10" t="inlineStr">
        <is>
          <t>第3步</t>
        </is>
      </c>
      <c r="B6" s="10" t="inlineStr">
        <is>
          <t>K_trend</t>
        </is>
      </c>
      <c r="C6" s="10">
        <f>趋势层计算表!D7</f>
        <v/>
      </c>
      <c r="D6" s="10" t="inlineStr">
        <is>
          <t>趋势动量乘数</t>
        </is>
      </c>
    </row>
    <row r="7">
      <c r="A7" s="10" t="inlineStr">
        <is>
          <t>第4步</t>
        </is>
      </c>
      <c r="B7" s="10" t="inlineStr">
        <is>
          <t>K_liquidity</t>
        </is>
      </c>
      <c r="C7" s="10">
        <f>流动性地缘乘数表!B5</f>
        <v/>
      </c>
      <c r="D7" s="10" t="inlineStr">
        <is>
          <t>流动性乘数</t>
        </is>
      </c>
    </row>
    <row r="8">
      <c r="A8" s="10" t="inlineStr">
        <is>
          <t>第5步</t>
        </is>
      </c>
      <c r="B8" s="10" t="inlineStr">
        <is>
          <t>K_geo</t>
        </is>
      </c>
      <c r="C8" s="10">
        <f>流动性地缘乘数表!B15</f>
        <v/>
      </c>
      <c r="D8" s="10" t="inlineStr">
        <is>
          <t>地缘乘数</t>
        </is>
      </c>
    </row>
    <row r="9">
      <c r="A9" s="10" t="inlineStr">
        <is>
          <t>第6步</t>
        </is>
      </c>
      <c r="B9" s="10" t="inlineStr">
        <is>
          <t>原始信号</t>
        </is>
      </c>
      <c r="C9" s="25">
        <f>C4*C5*C6*C7*C8</f>
        <v/>
      </c>
      <c r="D9" s="10" t="inlineStr">
        <is>
          <t>五项相乘</t>
        </is>
      </c>
    </row>
    <row r="10">
      <c r="A10" s="10" t="inlineStr">
        <is>
          <t>第7步</t>
        </is>
      </c>
      <c r="B10" s="10" t="inlineStr">
        <is>
          <t>强制规则检查</t>
        </is>
      </c>
      <c r="C10" s="10">
        <f>IF(强制规则检查表!E2&lt;&gt;"","触发",IF(强制规则检查表!E3&lt;&gt;"","触发",IF(强制规则检查表!E4&lt;&gt;"","触发",IF(强制规则检查表!E5&lt;&gt;"","触发","未触发"))))</f>
        <v/>
      </c>
      <c r="D10" s="10" t="inlineStr">
        <is>
          <t>见工作表7</t>
        </is>
      </c>
    </row>
    <row r="11">
      <c r="A11" s="10" t="inlineStr">
        <is>
          <t>第8步</t>
        </is>
      </c>
      <c r="B11" s="10" t="inlineStr">
        <is>
          <t>最终信号</t>
        </is>
      </c>
      <c r="C11" s="25">
        <f>IF(强制规则检查表!E2&lt;&gt;"",强制规则检查表!D2,IF(强制规则检查表!E3&lt;&gt;"",强制规则检查表!D3,IF(强制规则检查表!E4&lt;&gt;"",强制规则检查表!D4,IF(强制规则检查表!E5&lt;&gt;"",强制规则检查表!D5,C9))))</f>
        <v/>
      </c>
      <c r="D11" s="10" t="inlineStr">
        <is>
          <t>强制规则覆盖</t>
        </is>
      </c>
    </row>
    <row r="14" ht="15" customHeight="1">
      <c r="A14" s="1" t="inlineStr">
        <is>
          <t>信号等级</t>
        </is>
      </c>
      <c r="B14" s="1" t="inlineStr">
        <is>
          <t>仓位建议</t>
        </is>
      </c>
      <c r="C14" s="1" t="inlineStr">
        <is>
          <t>信号范围</t>
        </is>
      </c>
    </row>
    <row r="15">
      <c r="A15" s="10" t="inlineStr">
        <is>
          <t>🔥 强力看多</t>
        </is>
      </c>
      <c r="B15" s="10" t="inlineStr">
        <is>
          <t>16%-20%</t>
        </is>
      </c>
      <c r="C15" s="10" t="inlineStr">
        <is>
          <t>≥+0.60</t>
        </is>
      </c>
    </row>
    <row r="16">
      <c r="A16" s="10" t="inlineStr">
        <is>
          <t>✅ 看多</t>
        </is>
      </c>
      <c r="B16" s="10" t="inlineStr">
        <is>
          <t>9%-16%</t>
        </is>
      </c>
      <c r="C16" s="10" t="inlineStr">
        <is>
          <t>+0.35~+0.60</t>
        </is>
      </c>
    </row>
    <row r="17">
      <c r="A17" s="10" t="inlineStr">
        <is>
          <t>🟡 偏多</t>
        </is>
      </c>
      <c r="B17" s="10" t="inlineStr">
        <is>
          <t>6%-9%</t>
        </is>
      </c>
      <c r="C17" s="10" t="inlineStr">
        <is>
          <t>+0.15~+0.35</t>
        </is>
      </c>
    </row>
    <row r="18">
      <c r="A18" s="10" t="inlineStr">
        <is>
          <t>⚪ 中性</t>
        </is>
      </c>
      <c r="B18" s="10" t="inlineStr">
        <is>
          <t>3%-6%</t>
        </is>
      </c>
      <c r="C18" s="10" t="inlineStr">
        <is>
          <t>-0.15~+0.15</t>
        </is>
      </c>
    </row>
    <row r="19">
      <c r="A19" s="10" t="inlineStr">
        <is>
          <t>🟠 偏空</t>
        </is>
      </c>
      <c r="B19" s="10" t="inlineStr">
        <is>
          <t>1%-30%</t>
        </is>
      </c>
      <c r="C19" s="10" t="inlineStr">
        <is>
          <t>-0.35~-0.15</t>
        </is>
      </c>
    </row>
    <row r="20">
      <c r="A20" s="10" t="inlineStr">
        <is>
          <t>🔴 看空</t>
        </is>
      </c>
      <c r="B20" s="10" t="inlineStr">
        <is>
          <t>0%-1%</t>
        </is>
      </c>
      <c r="C20" s="10" t="inlineStr">
        <is>
          <t>≤-0.35</t>
        </is>
      </c>
    </row>
    <row r="22" ht="15" customHeight="1">
      <c r="A22" s="15" t="inlineStr">
        <is>
          <t>当前信号等级:</t>
        </is>
      </c>
      <c r="B22">
        <f>IF(C11&gt;=0.6,"🔥 强力看多",IF(C11&gt;=0.35,"✅ 看多",IF(C11&gt;=0.15,"🟡 偏多",IF(C11&gt;=-0.15,"⚪ 中性",IF(C11&gt;=-0.35,"🟠 偏空","🔴 看空")))))</f>
        <v/>
      </c>
    </row>
    <row r="23" ht="15" customHeight="1">
      <c r="A23" s="15" t="inlineStr">
        <is>
          <t>建议仓位:</t>
        </is>
      </c>
      <c r="B23" s="20">
        <f>IF(C11&gt;=0.6,B15,IF(C11&gt;=0.35,B16,IF(C11&gt;=0.15,B17,IF(C11&gt;=-0.15,B18,IF(C11&gt;=-0.35,B19,B20)))))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G22" sqref="G22"/>
    </sheetView>
  </sheetViews>
  <sheetFormatPr baseColWidth="8" defaultRowHeight="13.5"/>
  <cols>
    <col width="22" customWidth="1" min="1" max="5"/>
  </cols>
  <sheetData>
    <row r="1" ht="15" customHeight="1">
      <c r="A1" s="1" t="inlineStr">
        <is>
          <t>规则ID</t>
        </is>
      </c>
      <c r="B1" s="1" t="inlineStr">
        <is>
          <t>触发条件</t>
        </is>
      </c>
      <c r="C1" s="1" t="inlineStr">
        <is>
          <t>判断公式</t>
        </is>
      </c>
      <c r="D1" s="1" t="inlineStr">
        <is>
          <t>强制动作</t>
        </is>
      </c>
      <c r="E1" s="1" t="inlineStr">
        <is>
          <t>是否触发</t>
        </is>
      </c>
    </row>
    <row r="2" ht="30" customHeight="1">
      <c r="A2" s="10" t="inlineStr">
        <is>
          <t>OR-03</t>
        </is>
      </c>
      <c r="B2" s="10" t="inlineStr">
        <is>
          <t>VIX≥35 且 黄金-1%美元+0.5%</t>
        </is>
      </c>
      <c r="C2" s="10">
        <f>AND(流动性地缘乘数表!B3&gt;=35,LOOKUP(2,1/(数据收集总表!U3:U31&lt;&gt;""),数据收集总表!U3:U31)&lt;=-0.01,LOOKUP(2,1/(数据收集总表!V3:V31&lt;&gt;""),数据收集总表!V3:V31)&gt;=0.005)</f>
        <v/>
      </c>
      <c r="D2" s="10" t="n">
        <v>-0.5</v>
      </c>
      <c r="E2" s="10">
        <f>IF(C2=TRUE,D2,"")</f>
        <v/>
      </c>
    </row>
    <row r="3">
      <c r="A3" s="10" t="inlineStr">
        <is>
          <t>OR-01</t>
        </is>
      </c>
      <c r="B3" s="10" t="inlineStr">
        <is>
          <t>趋势层总分&lt;20</t>
        </is>
      </c>
      <c r="C3" s="10">
        <f>趋势层计算表!D6&lt;20</f>
        <v/>
      </c>
      <c r="D3" s="10" t="n">
        <v>-0.2</v>
      </c>
      <c r="E3" s="10">
        <f>IF(C3=TRUE,D3,"")</f>
        <v/>
      </c>
    </row>
    <row r="4">
      <c r="A4" s="10" t="inlineStr">
        <is>
          <t>OR-02</t>
        </is>
      </c>
      <c r="B4" s="10" t="inlineStr">
        <is>
          <t>趋势层总分&gt;80</t>
        </is>
      </c>
      <c r="C4" s="10">
        <f>趋势层计算表!D6&gt;80</f>
        <v/>
      </c>
      <c r="D4" s="10" t="n">
        <v>0.3</v>
      </c>
      <c r="E4" s="10">
        <f>IF(C4=TRUE,D4,"")</f>
        <v/>
      </c>
    </row>
    <row r="5">
      <c r="A5" s="10" t="inlineStr">
        <is>
          <t>结构牛底线</t>
        </is>
      </c>
      <c r="B5" s="10" t="inlineStr">
        <is>
          <t>连续两季购金&gt;300吨</t>
        </is>
      </c>
      <c r="C5" s="10">
        <f>FALSE</f>
        <v/>
      </c>
      <c r="D5" s="10" t="n">
        <v>0.15</v>
      </c>
      <c r="E5" s="10">
        <f>IF(C5=TRUE,D5,"")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D35" sqref="D35"/>
    </sheetView>
  </sheetViews>
  <sheetFormatPr baseColWidth="8" defaultRowHeight="13.5"/>
  <cols>
    <col width="14" customWidth="1" min="1" max="8"/>
  </cols>
  <sheetData>
    <row r="1" ht="15" customHeight="1">
      <c r="A1" s="1" t="inlineStr">
        <is>
          <t>日期</t>
        </is>
      </c>
      <c r="B1" s="1" t="inlineStr">
        <is>
          <t>操作类型</t>
        </is>
      </c>
      <c r="C1" s="1" t="inlineStr">
        <is>
          <t>数据项</t>
        </is>
      </c>
      <c r="D1" s="1" t="inlineStr">
        <is>
          <t>原值</t>
        </is>
      </c>
      <c r="E1" s="1" t="inlineStr">
        <is>
          <t>新值</t>
        </is>
      </c>
      <c r="F1" s="1" t="inlineStr">
        <is>
          <t>信号变化前</t>
        </is>
      </c>
      <c r="G1" s="1" t="inlineStr">
        <is>
          <t>信号变化后</t>
        </is>
      </c>
      <c r="H1" s="1" t="inlineStr">
        <is>
          <t>备注</t>
        </is>
      </c>
    </row>
    <row r="2">
      <c r="A2" s="17" t="n"/>
      <c r="B2" s="17" t="n"/>
      <c r="C2" s="17" t="n"/>
      <c r="D2" s="17" t="n"/>
      <c r="E2" s="17" t="n"/>
      <c r="F2" s="13" t="n"/>
      <c r="G2" s="13" t="n"/>
      <c r="H2" s="13" t="n"/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</row>
    <row r="4">
      <c r="A4" s="21" t="n"/>
      <c r="B4" s="13" t="n"/>
      <c r="C4" s="13" t="n"/>
      <c r="D4" s="13" t="n"/>
      <c r="E4" s="13" t="n"/>
      <c r="F4" s="13" t="n"/>
      <c r="G4" s="13" t="n"/>
      <c r="H4" s="13" t="n"/>
    </row>
    <row r="5">
      <c r="A5" s="13" t="n"/>
      <c r="B5" s="13" t="n"/>
      <c r="C5" s="13" t="n"/>
      <c r="D5" s="13" t="n"/>
      <c r="E5" s="13" t="n"/>
      <c r="F5" s="13" t="n"/>
      <c r="G5" s="13" t="n"/>
      <c r="H5" s="13" t="n"/>
    </row>
    <row r="6">
      <c r="A6" s="13" t="n"/>
      <c r="B6" s="13" t="n"/>
      <c r="C6" s="13" t="n"/>
      <c r="D6" s="13" t="n"/>
      <c r="E6" s="13" t="n"/>
      <c r="F6" s="13" t="n"/>
      <c r="G6" s="13" t="n"/>
      <c r="H6" s="13" t="n"/>
    </row>
    <row r="7">
      <c r="A7" s="13" t="n"/>
      <c r="B7" s="13" t="n"/>
      <c r="C7" s="13" t="n"/>
      <c r="D7" s="13" t="n"/>
      <c r="E7" s="13" t="n"/>
      <c r="F7" s="13" t="n"/>
      <c r="G7" s="13" t="n"/>
      <c r="H7" s="13" t="n"/>
    </row>
    <row r="8">
      <c r="A8" s="13" t="n"/>
      <c r="B8" s="13" t="n"/>
      <c r="C8" s="13" t="n"/>
      <c r="D8" s="13" t="n"/>
      <c r="E8" s="13" t="n"/>
      <c r="F8" s="13" t="n"/>
      <c r="G8" s="13" t="n"/>
      <c r="H8" s="13" t="n"/>
    </row>
    <row r="9">
      <c r="A9" s="13" t="n"/>
      <c r="B9" s="13" t="n"/>
      <c r="C9" s="13" t="n"/>
      <c r="D9" s="13" t="n"/>
      <c r="E9" s="13" t="n"/>
      <c r="F9" s="13" t="n"/>
      <c r="G9" s="13" t="n"/>
      <c r="H9" s="13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</row>
    <row r="27">
      <c r="A27" s="13" t="n"/>
      <c r="B27" s="13" t="n"/>
      <c r="C27" s="13" t="n"/>
      <c r="D27" s="13" t="n"/>
      <c r="E27" s="13" t="n"/>
      <c r="F27" s="13" t="n"/>
      <c r="G27" s="13" t="n"/>
      <c r="H27" s="13" t="n"/>
    </row>
    <row r="28">
      <c r="A28" s="13" t="n"/>
      <c r="B28" s="13" t="n"/>
      <c r="C28" s="13" t="n"/>
      <c r="D28" s="13" t="n"/>
      <c r="E28" s="13" t="n"/>
      <c r="F28" s="13" t="n"/>
      <c r="G28" s="13" t="n"/>
      <c r="H28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2026-04-27T06:48:31Z</dcterms:created>
  <dcterms:modified xmlns:dcterms="http://purl.org/dc/terms/" xmlns:xsi="http://www.w3.org/2001/XMLSchema-instance" xsi:type="dcterms:W3CDTF">2026-06-24T09:03:06Z</dcterms:modified>
  <cp:lastModifiedBy>Zhaoming Zhang</cp:lastModifiedBy>
</cp:coreProperties>
</file>