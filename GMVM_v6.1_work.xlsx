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4" autoFilterDateGrouping="1"/>
  </bookViews>
  <sheets>
    <sheet xmlns:r="http://schemas.openxmlformats.org/officeDocument/2006/relationships" name="数据收集总表" sheetId="1" state="visible" r:id="rId1"/>
    <sheet xmlns:r="http://schemas.openxmlformats.org/officeDocument/2006/relationships" name="宏观信号计算表" sheetId="2" state="visible" r:id="rId2"/>
    <sheet xmlns:r="http://schemas.openxmlformats.org/officeDocument/2006/relationships" name="验证层计算表" sheetId="3" state="visible" r:id="rId3"/>
    <sheet xmlns:r="http://schemas.openxmlformats.org/officeDocument/2006/relationships" name="趋势层计算表" sheetId="4" state="visible" r:id="rId4"/>
    <sheet xmlns:r="http://schemas.openxmlformats.org/officeDocument/2006/relationships" name="流动性地缘乘数表" sheetId="5" state="visible" r:id="rId5"/>
    <sheet xmlns:r="http://schemas.openxmlformats.org/officeDocument/2006/relationships" name="综合信号计算表" sheetId="6" state="visible" r:id="rId6"/>
    <sheet xmlns:r="http://schemas.openxmlformats.org/officeDocument/2006/relationships" name="强制规则检查表" sheetId="7" state="visible" r:id="rId7"/>
    <sheet xmlns:r="http://schemas.openxmlformats.org/officeDocument/2006/relationships" name="操作日志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宋体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9"/>
    </font>
    <font>
      <name val="Calibri"/>
      <b val="1"/>
      <sz val="11"/>
    </font>
    <font>
      <name val="Calibri"/>
      <b val="1"/>
      <sz val="12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name val="宋体"/>
      <charset val="134"/>
      <b val="1"/>
      <sz val="11"/>
    </font>
  </fonts>
  <fills count="1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E0E0E0"/>
        <bgColor rgb="FFE0E0E0"/>
      </patternFill>
    </fill>
    <fill>
      <patternFill patternType="solid">
        <fgColor rgb="FFFFF2CC"/>
        <bgColor rgb="FFFFF2CC"/>
      </patternFill>
    </fill>
    <fill>
      <patternFill patternType="solid">
        <fgColor rgb="FFEEEEEE"/>
      </patternFill>
    </fill>
    <fill>
      <patternFill patternType="solid">
        <fgColor rgb="FFE3F2FD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pivotButton="0" quotePrefix="0" xfId="0"/>
    <xf numFmtId="0" fontId="0" fillId="1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6" fillId="12" borderId="1" pivotButton="0" quotePrefix="0" xfId="0"/>
    <xf numFmtId="0" fontId="7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7"/>
  <sheetViews>
    <sheetView topLeftCell="F1" workbookViewId="0">
      <selection activeCell="V3" sqref="V3"/>
    </sheetView>
  </sheetViews>
  <sheetFormatPr baseColWidth="8" defaultRowHeight="13.5"/>
  <cols>
    <col width="16" customWidth="1" min="1" max="1"/>
    <col width="14" customWidth="1" min="2" max="20"/>
    <col width="11.25" customWidth="1" min="21" max="21"/>
    <col width="11.125" customWidth="1" min="22" max="22"/>
  </cols>
  <sheetData>
    <row r="1" ht="30" customHeight="1">
      <c r="A1" s="1" t="inlineStr">
        <is>
          <t>收集日期</t>
        </is>
      </c>
      <c r="B1" s="1" t="inlineStr">
        <is>
          <t>央行购金(吨)</t>
        </is>
      </c>
      <c r="C1" s="1" t="inlineStr">
        <is>
          <t>M2同比增速(%)</t>
        </is>
      </c>
      <c r="D1" s="1" t="inlineStr">
        <is>
          <t>美债/GDP比率(%)</t>
        </is>
      </c>
      <c r="E1" s="1" t="inlineStr">
        <is>
          <t>Fed预期差(bp)</t>
        </is>
      </c>
      <c r="F1" s="1" t="inlineStr">
        <is>
          <t>10Y TIPS(%)</t>
        </is>
      </c>
      <c r="G1" s="1" t="inlineStr">
        <is>
          <t>DXY</t>
        </is>
      </c>
      <c r="H1" s="1" t="inlineStr">
        <is>
          <t>ETF持仓4周变化(%)</t>
        </is>
      </c>
      <c r="I1" s="1" t="inlineStr">
        <is>
          <t>金银比</t>
        </is>
      </c>
      <c r="J1" s="1" t="inlineStr">
        <is>
          <t>金价/AISC</t>
        </is>
      </c>
      <c r="K1" s="1" t="inlineStr">
        <is>
          <t>RSI14</t>
        </is>
      </c>
      <c r="L1" s="1" t="inlineStr">
        <is>
          <t>MACD背离</t>
        </is>
      </c>
      <c r="M1" s="1" t="inlineStr">
        <is>
          <t>20日均线斜率(%)</t>
        </is>
      </c>
      <c r="N1" s="1" t="inlineStr">
        <is>
          <t>布林带状态</t>
        </is>
      </c>
      <c r="O1" s="1" t="inlineStr">
        <is>
          <t>VIX</t>
        </is>
      </c>
      <c r="P1" s="1" t="inlineStr">
        <is>
          <t>信用利差(%)</t>
        </is>
      </c>
      <c r="Q1" s="1" t="inlineStr">
        <is>
          <t>GPR指数</t>
        </is>
      </c>
      <c r="R1" s="1" t="inlineStr">
        <is>
          <t>布油价格($)</t>
        </is>
      </c>
      <c r="S1" s="1" t="inlineStr">
        <is>
          <t>CPI同比(%)</t>
        </is>
      </c>
      <c r="T1" s="1" t="inlineStr">
        <is>
          <t>金价($)</t>
        </is>
      </c>
      <c r="U1" s="1" t="inlineStr">
        <is>
          <t>金价单日跌幅</t>
        </is>
      </c>
      <c r="V1" s="1" t="inlineStr">
        <is>
          <t>DXY单日涨幅</t>
        </is>
      </c>
    </row>
    <row r="2">
      <c r="A2" s="2" t="inlineStr">
        <is>
          <t>日期</t>
        </is>
      </c>
      <c r="B2" s="3" t="inlineStr">
        <is>
          <t>S_macro</t>
        </is>
      </c>
      <c r="C2" s="3" t="inlineStr">
        <is>
          <t>S_macro</t>
        </is>
      </c>
      <c r="D2" s="3" t="inlineStr">
        <is>
          <t>S_macro</t>
        </is>
      </c>
      <c r="E2" s="3" t="inlineStr">
        <is>
          <t>S_macro</t>
        </is>
      </c>
      <c r="F2" s="3" t="inlineStr">
        <is>
          <t>S_macro</t>
        </is>
      </c>
      <c r="G2" s="3" t="inlineStr">
        <is>
          <t>S_macro</t>
        </is>
      </c>
      <c r="H2" s="4" t="inlineStr">
        <is>
          <t>K_verif</t>
        </is>
      </c>
      <c r="I2" s="4" t="inlineStr">
        <is>
          <t>K_verif</t>
        </is>
      </c>
      <c r="J2" s="4" t="inlineStr">
        <is>
          <t>K_verif</t>
        </is>
      </c>
      <c r="K2" s="5" t="inlineStr">
        <is>
          <t>K_trend</t>
        </is>
      </c>
      <c r="L2" s="5" t="inlineStr">
        <is>
          <t>K_trend</t>
        </is>
      </c>
      <c r="M2" s="5" t="inlineStr">
        <is>
          <t>K_trend</t>
        </is>
      </c>
      <c r="N2" s="5" t="inlineStr">
        <is>
          <t>K_trend</t>
        </is>
      </c>
      <c r="O2" s="6" t="inlineStr">
        <is>
          <t>K_liquidity</t>
        </is>
      </c>
      <c r="P2" s="6" t="inlineStr">
        <is>
          <t>K_liquidity</t>
        </is>
      </c>
      <c r="Q2" s="7" t="inlineStr">
        <is>
          <t>K_geo</t>
        </is>
      </c>
      <c r="R2" s="7" t="inlineStr">
        <is>
          <t>K_geo</t>
        </is>
      </c>
      <c r="S2" s="7" t="inlineStr">
        <is>
          <t>K_geo</t>
        </is>
      </c>
      <c r="T2" s="8" t="inlineStr">
        <is>
          <t>参考</t>
        </is>
      </c>
      <c r="U2" s="8" t="inlineStr">
        <is>
          <t>参考</t>
        </is>
      </c>
      <c r="V2" s="8" t="inlineStr">
        <is>
          <t>S_macro</t>
        </is>
      </c>
    </row>
    <row r="3">
      <c r="A3" s="9" t="inlineStr">
        <is>
          <t>2026-04-30</t>
        </is>
      </c>
      <c r="B3" s="18" t="n">
        <v>838</v>
      </c>
      <c r="C3" s="10" t="n">
        <v>4.2</v>
      </c>
      <c r="D3" s="10" t="n">
        <v>122.57</v>
      </c>
      <c r="E3" s="16" t="n">
        <v>-15</v>
      </c>
      <c r="F3" s="10" t="n">
        <v>1.92</v>
      </c>
      <c r="G3" s="10" t="n">
        <v>98.66</v>
      </c>
      <c r="H3" s="10" t="n">
        <v>-3.18</v>
      </c>
      <c r="I3" s="10" t="n">
        <v>63.75</v>
      </c>
      <c r="J3" s="10" t="n">
        <v>3.25</v>
      </c>
      <c r="K3" s="10" t="n">
        <v>39.01</v>
      </c>
      <c r="L3" s="10" t="n">
        <v>50</v>
      </c>
      <c r="M3" s="10" t="n">
        <v>-0.15</v>
      </c>
      <c r="N3" s="10" t="n">
        <v>83</v>
      </c>
      <c r="O3" s="10" t="n">
        <v>17.83</v>
      </c>
      <c r="P3" s="10" t="n">
        <v>1.69</v>
      </c>
      <c r="Q3" s="16" t="n">
        <v>297.27</v>
      </c>
      <c r="R3" s="10" t="n">
        <v>111.85</v>
      </c>
      <c r="S3" s="10" t="n">
        <v>3.32</v>
      </c>
      <c r="T3" s="10" t="n">
        <v>4543.41</v>
      </c>
      <c r="U3" s="10" t="n">
        <v>-1.62</v>
      </c>
      <c r="V3" s="10" t="n">
        <v>0.03</v>
      </c>
    </row>
    <row r="4">
      <c r="A4" s="22" t="inlineStr">
        <is>
          <t>2026-05-13</t>
        </is>
      </c>
      <c r="B4" s="23" t="n">
        <v>838</v>
      </c>
      <c r="C4" s="23" t="n">
        <v>4.88</v>
      </c>
      <c r="D4" s="23" t="n">
        <v>122.56815</v>
      </c>
      <c r="E4" s="24" t="n">
        <v>2.5</v>
      </c>
      <c r="F4" s="23" t="n">
        <v>1.95</v>
      </c>
      <c r="G4" s="23" t="n">
        <v>97.7146</v>
      </c>
      <c r="H4" s="23" t="n">
        <v>-0.01</v>
      </c>
      <c r="I4" s="23" t="n">
        <v>53.6281</v>
      </c>
      <c r="J4" s="23" t="n">
        <v>3.3786</v>
      </c>
      <c r="K4" s="23" t="n">
        <v>37.25</v>
      </c>
      <c r="L4" s="23" t="n">
        <v>50</v>
      </c>
      <c r="M4" s="23" t="n">
        <v>-0.0389</v>
      </c>
      <c r="N4" s="23" t="n">
        <v>67</v>
      </c>
      <c r="O4" s="23" t="n">
        <v>18.38</v>
      </c>
      <c r="P4" s="23" t="n">
        <v>1.65</v>
      </c>
      <c r="Q4" s="24" t="n">
        <v>122.1733169555664</v>
      </c>
      <c r="R4" s="23" t="n">
        <v>118.26</v>
      </c>
      <c r="S4" s="23" t="n">
        <v>3.95</v>
      </c>
      <c r="T4" s="23" t="n">
        <v>4730</v>
      </c>
      <c r="U4" s="23" t="n">
        <v>-0.0978</v>
      </c>
      <c r="V4" s="23" t="n">
        <v>0</v>
      </c>
    </row>
    <row r="5">
      <c r="A5" s="22" t="inlineStr">
        <is>
          <t>2026-06-09</t>
        </is>
      </c>
      <c r="B5" s="23" t="n">
        <v>870.5</v>
      </c>
      <c r="C5" s="23" t="n">
        <v>4.88</v>
      </c>
      <c r="D5" s="23" t="n">
        <v>121.0391507537651</v>
      </c>
      <c r="E5" s="24" t="n">
        <v>2.5</v>
      </c>
      <c r="F5" s="23" t="n">
        <v>2.19</v>
      </c>
      <c r="G5" s="23" t="n">
        <v>99.8814</v>
      </c>
      <c r="H5" s="23" t="n">
        <v>-1.53</v>
      </c>
      <c r="I5" s="23" t="n">
        <v>63.46985659935616</v>
      </c>
      <c r="J5" s="23" t="n">
        <v>2.542171922894334</v>
      </c>
      <c r="K5" s="23" t="n">
        <v>60.62</v>
      </c>
      <c r="L5" s="23" t="n">
        <v>50</v>
      </c>
      <c r="M5" s="23" t="n">
        <v>-0.27</v>
      </c>
      <c r="N5" s="23" t="n">
        <v>50</v>
      </c>
      <c r="O5" s="23" t="n">
        <v>24.76</v>
      </c>
      <c r="P5" s="23" t="n">
        <v>1.54</v>
      </c>
      <c r="Q5" s="24" t="n">
        <v>184.18</v>
      </c>
      <c r="R5" s="23" t="n">
        <v>93.03100000000001</v>
      </c>
      <c r="S5" s="23" t="n">
        <v>3.8</v>
      </c>
      <c r="T5" s="23" t="n">
        <v>4337.53</v>
      </c>
      <c r="U5" s="23" t="n">
        <v>-0.01</v>
      </c>
      <c r="V5" s="23" t="n">
        <v>-0.13</v>
      </c>
    </row>
    <row r="6">
      <c r="A6" s="22" t="inlineStr">
        <is>
          <t>2026-06-16</t>
        </is>
      </c>
      <c r="B6" s="23" t="n">
        <v>870.5</v>
      </c>
      <c r="C6" s="23" t="n">
        <v>4.88</v>
      </c>
      <c r="D6" s="23" t="n">
        <v>121.0391507537651</v>
      </c>
      <c r="E6" s="24" t="n">
        <v>2.5</v>
      </c>
      <c r="F6" s="23" t="n">
        <v>2.17</v>
      </c>
      <c r="G6" s="23" t="n">
        <v>99.58069999999999</v>
      </c>
      <c r="H6" s="23" t="n">
        <v>-2.06</v>
      </c>
      <c r="I6" s="23" t="n">
        <v>61.56693582660434</v>
      </c>
      <c r="J6" s="23" t="n">
        <v>2.547141944520961</v>
      </c>
      <c r="K6" s="23" t="n">
        <v>57.21</v>
      </c>
      <c r="L6" s="23" t="n">
        <v>50</v>
      </c>
      <c r="M6" s="23" t="n">
        <v>0.356</v>
      </c>
      <c r="N6" s="23" t="n">
        <v>50</v>
      </c>
      <c r="O6" s="23" t="n">
        <v>22.56</v>
      </c>
      <c r="P6" s="23" t="n">
        <v>1.63</v>
      </c>
      <c r="Q6" s="24" t="n">
        <v>184.18</v>
      </c>
      <c r="R6" s="23" t="n">
        <v>81.437</v>
      </c>
      <c r="S6" s="23" t="n">
        <v>4.2</v>
      </c>
      <c r="T6" s="23" t="n">
        <v>4346.01</v>
      </c>
      <c r="U6" s="23" t="n">
        <v>-0.01</v>
      </c>
      <c r="V6" s="23" t="n">
        <v>-0.09</v>
      </c>
    </row>
    <row r="7">
      <c r="A7" s="22" t="inlineStr">
        <is>
          <t>2026-06-16</t>
        </is>
      </c>
      <c r="B7" s="23" t="n">
        <v>870.5</v>
      </c>
      <c r="C7" s="23" t="n">
        <v>4.88</v>
      </c>
      <c r="D7" s="23" t="n">
        <v>121.0391507537651</v>
      </c>
      <c r="E7" s="24" t="n">
        <v>2.5</v>
      </c>
      <c r="F7" s="23" t="n">
        <v>2.17</v>
      </c>
      <c r="G7" s="23" t="n">
        <v>99.58150000000001</v>
      </c>
      <c r="H7" s="23" t="n">
        <v>-2.06</v>
      </c>
      <c r="I7" s="23" t="n">
        <v>61.57942468471022</v>
      </c>
      <c r="J7" s="23" t="n">
        <v>2.546936813911372</v>
      </c>
      <c r="K7" s="23" t="n">
        <v>57.21</v>
      </c>
      <c r="L7" s="23" t="n">
        <v>50</v>
      </c>
      <c r="M7" s="23" t="n">
        <v>0.356</v>
      </c>
      <c r="N7" s="23" t="n">
        <v>50</v>
      </c>
      <c r="O7" s="23" t="n">
        <v>22.56</v>
      </c>
      <c r="P7" s="23" t="n">
        <v>1.63</v>
      </c>
      <c r="Q7" s="24" t="n">
        <v>184.18</v>
      </c>
      <c r="R7" s="23" t="n">
        <v>81.423</v>
      </c>
      <c r="S7" s="23" t="n">
        <v>4.2</v>
      </c>
      <c r="T7" s="23" t="n">
        <v>4345.66</v>
      </c>
      <c r="U7" s="23" t="n">
        <v>-0.01</v>
      </c>
      <c r="V7" s="23" t="n">
        <v>-0.09</v>
      </c>
    </row>
    <row r="8">
      <c r="A8" s="22" t="inlineStr">
        <is>
          <t>2026-06-16</t>
        </is>
      </c>
      <c r="B8" s="23" t="n">
        <v>870.5</v>
      </c>
      <c r="C8" s="23" t="n">
        <v>4.88</v>
      </c>
      <c r="D8" s="23" t="n">
        <v>121.0391507537651</v>
      </c>
      <c r="E8" s="24" t="n">
        <v>2.5</v>
      </c>
      <c r="F8" s="23" t="n">
        <v>2.17</v>
      </c>
      <c r="G8" s="23" t="n">
        <v>99.6054</v>
      </c>
      <c r="H8" s="23" t="n">
        <v>-2.06</v>
      </c>
      <c r="I8" s="23" t="n">
        <v>61.6081713718258</v>
      </c>
      <c r="J8" s="23" t="n">
        <v>2.545237160289058</v>
      </c>
      <c r="K8" s="23" t="n">
        <v>57.21</v>
      </c>
      <c r="L8" s="23" t="n">
        <v>50</v>
      </c>
      <c r="M8" s="23" t="n">
        <v>0.356</v>
      </c>
      <c r="N8" s="23" t="n">
        <v>50</v>
      </c>
      <c r="O8" s="23" t="n">
        <v>22.56</v>
      </c>
      <c r="P8" s="23" t="n">
        <v>1.63</v>
      </c>
      <c r="Q8" s="24" t="n">
        <v>184.18</v>
      </c>
      <c r="R8" s="23" t="n">
        <v>81.342</v>
      </c>
      <c r="S8" s="23" t="n">
        <v>4.2</v>
      </c>
      <c r="T8" s="23" t="n">
        <v>4342.76</v>
      </c>
      <c r="U8" s="23" t="n">
        <v>-0.01</v>
      </c>
      <c r="V8" s="23" t="n">
        <v>-0.07000000000000001</v>
      </c>
    </row>
    <row r="9">
      <c r="A9" s="22" t="inlineStr">
        <is>
          <t>2026-06-23</t>
        </is>
      </c>
      <c r="B9" s="23" t="n">
        <v>870.5</v>
      </c>
      <c r="C9" s="23" t="n">
        <v>4.88</v>
      </c>
      <c r="D9" s="23" t="n">
        <v>122.7720900641192</v>
      </c>
      <c r="E9" s="24" t="n">
        <v>2.5</v>
      </c>
      <c r="F9" s="23" t="n">
        <v>2.21</v>
      </c>
      <c r="G9" s="23" t="n">
        <v>101.065</v>
      </c>
      <c r="H9" s="23" t="n">
        <v>-1.55</v>
      </c>
      <c r="I9" s="23" t="n">
        <v>65.93630980956952</v>
      </c>
      <c r="J9" s="23" t="n">
        <v>2.41489131008129</v>
      </c>
      <c r="K9" s="23" t="n">
        <v>55.94</v>
      </c>
      <c r="L9" s="23" t="n">
        <v>50</v>
      </c>
      <c r="M9" s="23" t="n">
        <v>0.182</v>
      </c>
      <c r="N9" s="23" t="n">
        <v>50</v>
      </c>
      <c r="O9" s="23" t="n">
        <v>22.52</v>
      </c>
      <c r="P9" s="23" t="n">
        <v>1.59</v>
      </c>
      <c r="Q9" s="24" t="n">
        <v>184.18</v>
      </c>
      <c r="R9" s="23" t="n">
        <v>76.65900000000001</v>
      </c>
      <c r="S9" s="23" t="n">
        <v>4.2</v>
      </c>
      <c r="T9" s="23" t="n">
        <v>4120.36</v>
      </c>
      <c r="U9" s="23" t="n">
        <v>-0.01</v>
      </c>
      <c r="V9" s="23" t="n">
        <v>0.06</v>
      </c>
    </row>
    <row r="10">
      <c r="A10" s="22" t="inlineStr">
        <is>
          <t>2026-06-24</t>
        </is>
      </c>
      <c r="B10" s="23" t="n">
        <v>870.5</v>
      </c>
      <c r="C10" s="23" t="n">
        <v>4.88</v>
      </c>
      <c r="D10" s="23" t="n">
        <v>122.7720900641192</v>
      </c>
      <c r="E10" s="24" t="n">
        <v>2.5</v>
      </c>
      <c r="F10" s="23" t="n">
        <v>2.28</v>
      </c>
      <c r="G10" s="23" t="n">
        <v>101.602</v>
      </c>
      <c r="H10" s="23" t="n">
        <v>-2.15</v>
      </c>
      <c r="I10" s="23" t="n">
        <v>66.57941176470588</v>
      </c>
      <c r="J10" s="23" t="n">
        <v>2.388107113343453</v>
      </c>
      <c r="K10" s="23" t="n">
        <v>50.97</v>
      </c>
      <c r="L10" s="23" t="n">
        <v>50</v>
      </c>
      <c r="M10" s="23" t="n">
        <v>0.2</v>
      </c>
      <c r="N10" s="23" t="n">
        <v>50</v>
      </c>
      <c r="O10" s="23" t="n">
        <v>23.87</v>
      </c>
      <c r="P10" s="23" t="n">
        <v>1.6</v>
      </c>
      <c r="Q10" s="24" t="n">
        <v>184.18</v>
      </c>
      <c r="R10" s="23" t="n">
        <v>75.508</v>
      </c>
      <c r="S10" s="23" t="n">
        <v>4.2</v>
      </c>
      <c r="T10" s="23" t="n">
        <v>4074.66</v>
      </c>
      <c r="U10" s="23" t="n">
        <v>-0.01</v>
      </c>
      <c r="V10" s="23" t="n">
        <v>0.22</v>
      </c>
    </row>
    <row r="11">
      <c r="A11" s="22" t="inlineStr">
        <is>
          <t>2026-06-24</t>
        </is>
      </c>
      <c r="B11" s="23" t="n">
        <v>870.5</v>
      </c>
      <c r="C11" s="23" t="n">
        <v>4.88</v>
      </c>
      <c r="D11" s="23" t="n">
        <v>122.7720900641192</v>
      </c>
      <c r="E11" s="24" t="n">
        <v>2.5</v>
      </c>
      <c r="F11" s="23" t="n">
        <v>2.28</v>
      </c>
      <c r="G11" s="23" t="n">
        <v>101.6082</v>
      </c>
      <c r="H11" s="23" t="n">
        <v>-2.15</v>
      </c>
      <c r="I11" s="23" t="n">
        <v>66.633627739614</v>
      </c>
      <c r="J11" s="23" t="n">
        <v>2.387708573873393</v>
      </c>
      <c r="K11" s="23" t="n">
        <v>50.97</v>
      </c>
      <c r="L11" s="23" t="n">
        <v>50</v>
      </c>
      <c r="M11" s="23" t="n">
        <v>0.2</v>
      </c>
      <c r="N11" s="23" t="n">
        <v>50</v>
      </c>
      <c r="O11" s="23" t="n">
        <v>23.87</v>
      </c>
      <c r="P11" s="23" t="n">
        <v>1.6</v>
      </c>
      <c r="Q11" s="24" t="n">
        <v>184.18</v>
      </c>
      <c r="R11" s="23" t="n">
        <v>75.337</v>
      </c>
      <c r="S11" s="23" t="n">
        <v>4.2</v>
      </c>
      <c r="T11" s="23" t="n">
        <v>4073.98</v>
      </c>
      <c r="U11" s="23" t="n">
        <v>-0.01</v>
      </c>
      <c r="V11" s="23" t="n">
        <v>0.23</v>
      </c>
    </row>
    <row r="12">
      <c r="A12" s="22" t="inlineStr">
        <is>
          <t>2026-06-25</t>
        </is>
      </c>
      <c r="B12" s="23" t="n">
        <v>870.5</v>
      </c>
      <c r="C12" s="23" t="n">
        <v>4.88</v>
      </c>
      <c r="D12" s="23" t="n">
        <v>122.7720900641192</v>
      </c>
      <c r="E12" s="24" t="n">
        <v>2.5</v>
      </c>
      <c r="F12" s="23" t="n">
        <v>2.29</v>
      </c>
      <c r="G12" s="23" t="n">
        <v>101.485</v>
      </c>
      <c r="H12" s="23" t="n">
        <v>-2.32</v>
      </c>
      <c r="I12" s="23" t="n">
        <v>69.82791754018169</v>
      </c>
      <c r="J12" s="23" t="n">
        <v>2.34256225714001</v>
      </c>
      <c r="K12" s="23" t="n">
        <v>55.66</v>
      </c>
      <c r="L12" s="23" t="n">
        <v>50</v>
      </c>
      <c r="M12" s="23" t="n">
        <v>0.332</v>
      </c>
      <c r="N12" s="23" t="n">
        <v>50</v>
      </c>
      <c r="O12" s="23" t="n">
        <v>23.69</v>
      </c>
      <c r="P12" s="23" t="n">
        <v>1.69</v>
      </c>
      <c r="Q12" s="24" t="n">
        <v>184.18</v>
      </c>
      <c r="R12" s="23" t="n">
        <v>72.825</v>
      </c>
      <c r="S12" s="23" t="n">
        <v>4.2</v>
      </c>
      <c r="T12" s="23" t="n">
        <v>3996.95</v>
      </c>
      <c r="U12" s="23" t="n">
        <v>-0.01</v>
      </c>
      <c r="V12" s="23" t="n">
        <v>-0.09</v>
      </c>
    </row>
    <row r="13">
      <c r="A13" s="22" t="inlineStr">
        <is>
          <t>2026-06-25</t>
        </is>
      </c>
      <c r="B13" s="23" t="n">
        <v>870.5</v>
      </c>
      <c r="C13" s="23" t="n">
        <v>4.88</v>
      </c>
      <c r="D13" s="23" t="n">
        <v>122.7720900641192</v>
      </c>
      <c r="E13" s="24" t="n">
        <v>2.5</v>
      </c>
      <c r="F13" s="23" t="n">
        <v>2.29</v>
      </c>
      <c r="G13" s="23" t="n">
        <v>101.4852</v>
      </c>
      <c r="H13" s="23" t="n">
        <v>-2.32</v>
      </c>
      <c r="I13" s="23" t="n">
        <v>69.6426080892608</v>
      </c>
      <c r="J13" s="23" t="n">
        <v>2.341243560364077</v>
      </c>
      <c r="K13" s="23" t="n">
        <v>55.66</v>
      </c>
      <c r="L13" s="23" t="n">
        <v>50</v>
      </c>
      <c r="M13" s="23" t="n">
        <v>0.332</v>
      </c>
      <c r="N13" s="23" t="n">
        <v>50</v>
      </c>
      <c r="O13" s="23" t="n">
        <v>23.69</v>
      </c>
      <c r="P13" s="23" t="n">
        <v>1.69</v>
      </c>
      <c r="Q13" s="24" t="n">
        <v>184.18</v>
      </c>
      <c r="R13" s="23" t="n">
        <v>72.84999999999999</v>
      </c>
      <c r="S13" s="23" t="n">
        <v>4.2</v>
      </c>
      <c r="T13" s="23" t="n">
        <v>3994.7</v>
      </c>
      <c r="U13" s="23" t="n">
        <v>-0.01</v>
      </c>
      <c r="V13" s="23" t="n">
        <v>-0.09</v>
      </c>
    </row>
    <row r="14">
      <c r="A14" s="22" t="inlineStr">
        <is>
          <t>2026-06-25 04:13:02</t>
        </is>
      </c>
      <c r="B14" s="23" t="n">
        <v>870.5</v>
      </c>
      <c r="C14" s="23" t="n">
        <v>4.88</v>
      </c>
      <c r="D14" s="23" t="n">
        <v>122.7720900641192</v>
      </c>
      <c r="E14" s="24" t="n">
        <v>2.5</v>
      </c>
      <c r="F14" s="23" t="n">
        <v>2.29</v>
      </c>
      <c r="G14" s="23" t="n">
        <v>101.4776</v>
      </c>
      <c r="H14" s="23" t="n">
        <v>-2.32</v>
      </c>
      <c r="I14" s="23" t="n">
        <v>69.57932357043236</v>
      </c>
      <c r="J14" s="23" t="n">
        <v>2.339116062898906</v>
      </c>
      <c r="K14" s="23" t="n">
        <v>55.66</v>
      </c>
      <c r="L14" s="23" t="n">
        <v>50</v>
      </c>
      <c r="M14" s="23" t="n">
        <v>0.332</v>
      </c>
      <c r="N14" s="23" t="n">
        <v>50</v>
      </c>
      <c r="O14" s="23" t="n">
        <v>23.69</v>
      </c>
      <c r="P14" s="23" t="n">
        <v>1.69</v>
      </c>
      <c r="Q14" s="24" t="n">
        <v>184.18</v>
      </c>
      <c r="R14" s="23" t="n">
        <v>72.85899999999999</v>
      </c>
      <c r="S14" s="23" t="n">
        <v>4.2</v>
      </c>
      <c r="T14" s="23" t="n">
        <v>3991.07</v>
      </c>
      <c r="U14" s="23" t="n">
        <v>-0.01</v>
      </c>
      <c r="V14" s="23" t="n">
        <v>-0.1</v>
      </c>
    </row>
    <row r="15">
      <c r="A15" s="22" t="inlineStr">
        <is>
          <t>2026-06-25 12:17:49</t>
        </is>
      </c>
      <c r="B15" s="23" t="n">
        <v>870.5</v>
      </c>
      <c r="C15" s="23" t="n">
        <v>4.88</v>
      </c>
      <c r="D15" s="23" t="n">
        <v>122.7720900641192</v>
      </c>
      <c r="E15" s="24" t="n">
        <v>2.5</v>
      </c>
      <c r="F15" s="23" t="n">
        <v>2.29</v>
      </c>
      <c r="G15" s="23" t="n">
        <v>101.4869</v>
      </c>
      <c r="H15" s="23" t="n">
        <v>-2.32</v>
      </c>
      <c r="I15" s="23" t="n">
        <v>69.67819706498952</v>
      </c>
      <c r="J15" s="23" t="n">
        <v>2.337539487642346</v>
      </c>
      <c r="K15" s="23" t="n">
        <v>55.66</v>
      </c>
      <c r="L15" s="23" t="n">
        <v>50</v>
      </c>
      <c r="M15" s="23" t="n">
        <v>0.332</v>
      </c>
      <c r="N15" s="23" t="n">
        <v>50</v>
      </c>
      <c r="O15" s="23" t="n">
        <v>23.69</v>
      </c>
      <c r="P15" s="23" t="n">
        <v>1.69</v>
      </c>
      <c r="Q15" s="24" t="n">
        <v>184.18</v>
      </c>
      <c r="R15" s="23" t="n">
        <v>72.83799999999999</v>
      </c>
      <c r="S15" s="23" t="n">
        <v>4.2</v>
      </c>
      <c r="T15" s="23" t="n">
        <v>3988.38</v>
      </c>
      <c r="U15" s="23" t="n">
        <v>-0.01</v>
      </c>
      <c r="V15" s="23" t="n">
        <v>-0.09</v>
      </c>
    </row>
    <row r="16">
      <c r="A16" s="22" t="inlineStr">
        <is>
          <t>2026-06-25 14:03:12</t>
        </is>
      </c>
      <c r="B16" s="23" t="n">
        <v>870.5</v>
      </c>
      <c r="C16" s="23" t="n">
        <v>4.88</v>
      </c>
      <c r="D16" s="23" t="n">
        <v>122.7720900641192</v>
      </c>
      <c r="E16" s="24" t="n">
        <v>2.5</v>
      </c>
      <c r="F16" s="23" t="n">
        <v>2.29</v>
      </c>
      <c r="G16" s="23" t="n">
        <v>101.5425</v>
      </c>
      <c r="H16" s="23" t="n">
        <v>-2.32</v>
      </c>
      <c r="I16" s="23" t="n">
        <v>69.79625087596357</v>
      </c>
      <c r="J16" s="23" t="n">
        <v>2.334954841961517</v>
      </c>
      <c r="K16" s="23" t="n">
        <v>55.66</v>
      </c>
      <c r="L16" s="23" t="n">
        <v>50</v>
      </c>
      <c r="M16" s="23" t="n">
        <v>0.332</v>
      </c>
      <c r="N16" s="23" t="n">
        <v>50</v>
      </c>
      <c r="O16" s="23" t="n">
        <v>23.69</v>
      </c>
      <c r="P16" s="23" t="n">
        <v>1.69</v>
      </c>
      <c r="Q16" s="24" t="n">
        <v>184.18</v>
      </c>
      <c r="R16" s="23" t="n">
        <v>72.747</v>
      </c>
      <c r="S16" s="23" t="n">
        <v>4.2</v>
      </c>
      <c r="T16" s="23" t="n">
        <v>3983.97</v>
      </c>
      <c r="U16" s="23" t="n">
        <v>-0.01</v>
      </c>
      <c r="V16" s="23" t="n">
        <v>-0.03</v>
      </c>
    </row>
    <row r="17">
      <c r="A17" s="22" t="inlineStr">
        <is>
          <t>2026-06-26 13:07:30</t>
        </is>
      </c>
      <c r="B17" s="23" t="n">
        <v>870.5</v>
      </c>
      <c r="C17" s="23" t="n">
        <v>4.88</v>
      </c>
      <c r="D17" s="23" t="n">
        <v>122.5938713264953</v>
      </c>
      <c r="E17" s="24" t="n">
        <v>2.5</v>
      </c>
      <c r="F17" s="23" t="n">
        <v>2.23</v>
      </c>
      <c r="G17" s="23" t="n">
        <v>101.3935</v>
      </c>
      <c r="H17" s="23" t="n">
        <v>-3.06</v>
      </c>
      <c r="I17" s="23" t="n">
        <v>71.15261756876663</v>
      </c>
      <c r="J17" s="23" t="n">
        <v>2.349888350339638</v>
      </c>
      <c r="K17" s="23" t="n">
        <v>61.7</v>
      </c>
      <c r="L17" s="23" t="n">
        <v>50</v>
      </c>
      <c r="M17" s="23" t="n">
        <v>0.654</v>
      </c>
      <c r="N17" s="23" t="n">
        <v>0</v>
      </c>
      <c r="O17" s="23" t="n">
        <v>23.25</v>
      </c>
      <c r="P17" s="23" t="n">
        <v>1.7</v>
      </c>
      <c r="Q17" s="24" t="n">
        <v>184.18</v>
      </c>
      <c r="R17" s="23" t="n">
        <v>74.05800000000001</v>
      </c>
      <c r="S17" s="23" t="n">
        <v>4.2</v>
      </c>
      <c r="T17" s="23" t="n">
        <v>4009.45</v>
      </c>
      <c r="U17" s="23" t="n">
        <v>-0.01</v>
      </c>
      <c r="V17" s="23" t="n">
        <v>-0.06</v>
      </c>
    </row>
    <row r="18">
      <c r="A18" s="22" t="inlineStr">
        <is>
          <t>2026-06-27 12:52:40</t>
        </is>
      </c>
      <c r="B18" s="23" t="n">
        <v>870.5</v>
      </c>
      <c r="C18" s="23" t="n">
        <v>4.88</v>
      </c>
      <c r="D18" s="23" t="n">
        <v>122.5938713264953</v>
      </c>
      <c r="E18" s="24" t="n">
        <v>2.5</v>
      </c>
      <c r="F18" s="23" t="n">
        <v>2.19</v>
      </c>
      <c r="G18" s="23" t="n">
        <v>101.3565</v>
      </c>
      <c r="H18" s="23" t="n">
        <v>-3.06</v>
      </c>
      <c r="I18" s="23" t="n">
        <v>69.44053088310362</v>
      </c>
      <c r="J18" s="23" t="n">
        <v>2.391834629563423</v>
      </c>
      <c r="K18" s="23" t="n">
        <v>58.98</v>
      </c>
      <c r="L18" s="23" t="n">
        <v>50</v>
      </c>
      <c r="M18" s="23" t="n">
        <v>0.776</v>
      </c>
      <c r="N18" s="23" t="n">
        <v>50</v>
      </c>
      <c r="O18" s="23" t="n">
        <v>23.56</v>
      </c>
      <c r="P18" s="23" t="n">
        <v>1.72</v>
      </c>
      <c r="Q18" s="24" t="n">
        <v>184.18</v>
      </c>
      <c r="R18" s="23" t="n">
        <v>73.416</v>
      </c>
      <c r="S18" s="23" t="n">
        <v>4.2</v>
      </c>
      <c r="T18" s="23" t="n">
        <v>4081.02</v>
      </c>
      <c r="U18" s="23" t="n">
        <v>-0.02</v>
      </c>
      <c r="V18" s="23" t="n">
        <v>-0.1</v>
      </c>
    </row>
    <row r="19">
      <c r="A19" s="22" t="inlineStr">
        <is>
          <t>2026-06-28 13:16:06</t>
        </is>
      </c>
      <c r="B19" s="23" t="n">
        <v>870.5</v>
      </c>
      <c r="C19" s="23" t="n">
        <v>4.88</v>
      </c>
      <c r="D19" s="23" t="n">
        <v>122.5938713264953</v>
      </c>
      <c r="E19" s="24" t="n">
        <v>2.5</v>
      </c>
      <c r="F19" s="23" t="n">
        <v>2.19</v>
      </c>
      <c r="G19" s="23" t="n">
        <v>101.3565</v>
      </c>
      <c r="H19" s="23" t="n">
        <v>-3.06</v>
      </c>
      <c r="I19" s="23" t="n">
        <v>69.44053088310362</v>
      </c>
      <c r="J19" s="23" t="n">
        <v>2.391834629563423</v>
      </c>
      <c r="K19" s="23" t="n">
        <v>58.98</v>
      </c>
      <c r="L19" s="23" t="n">
        <v>50</v>
      </c>
      <c r="M19" s="23" t="n">
        <v>0.776</v>
      </c>
      <c r="N19" s="23" t="n">
        <v>50</v>
      </c>
      <c r="O19" s="23" t="n">
        <v>23.56</v>
      </c>
      <c r="P19" s="23" t="n">
        <v>1.72</v>
      </c>
      <c r="Q19" s="24" t="n">
        <v>184.18</v>
      </c>
      <c r="R19" s="23" t="n">
        <v>73.416</v>
      </c>
      <c r="S19" s="23" t="n">
        <v>4.2</v>
      </c>
      <c r="T19" s="23" t="n">
        <v>4081.02</v>
      </c>
      <c r="U19" s="23" t="n">
        <v>-0.02</v>
      </c>
      <c r="V19" s="23" t="n">
        <v>-0.1</v>
      </c>
    </row>
    <row r="20">
      <c r="A20" s="22" t="inlineStr">
        <is>
          <t>2026-06-29 13:48:54</t>
        </is>
      </c>
      <c r="B20" s="23" t="n">
        <v>870.5</v>
      </c>
      <c r="C20" s="23" t="n">
        <v>4.88</v>
      </c>
      <c r="D20" s="23" t="n">
        <v>122.5938713264953</v>
      </c>
      <c r="E20" s="24" t="n">
        <v>2.5</v>
      </c>
      <c r="F20" s="23" t="n">
        <v>2.19</v>
      </c>
      <c r="G20" s="23" t="n">
        <v>101.3006</v>
      </c>
      <c r="H20" s="23" t="n">
        <v>-3.06</v>
      </c>
      <c r="I20" s="23" t="n">
        <v>69.6005840920804</v>
      </c>
      <c r="J20" s="23" t="n">
        <v>2.374504023490385</v>
      </c>
      <c r="K20" s="23" t="n">
        <v>58.98</v>
      </c>
      <c r="L20" s="23" t="n">
        <v>50</v>
      </c>
      <c r="M20" s="23" t="n">
        <v>0.776</v>
      </c>
      <c r="N20" s="23" t="n">
        <v>50</v>
      </c>
      <c r="O20" s="23" t="n">
        <v>23.56</v>
      </c>
      <c r="P20" s="23" t="n">
        <v>1.72</v>
      </c>
      <c r="Q20" s="24" t="n">
        <v>184.18</v>
      </c>
      <c r="R20" s="23" t="n">
        <v>72.75</v>
      </c>
      <c r="S20" s="23" t="n">
        <v>4.2</v>
      </c>
      <c r="T20" s="23" t="n">
        <v>4051.45</v>
      </c>
      <c r="U20" s="23" t="n">
        <v>-0.01</v>
      </c>
      <c r="V20" s="23" t="n">
        <v>-0.06</v>
      </c>
    </row>
    <row r="21">
      <c r="A21" s="22" t="inlineStr">
        <is>
          <t>2026-06-30 13:02:08</t>
        </is>
      </c>
      <c r="B21" s="23" t="n">
        <v>870.5</v>
      </c>
      <c r="C21" s="23" t="n">
        <v>4.88</v>
      </c>
      <c r="D21" s="23" t="n">
        <v>122.5938713264953</v>
      </c>
      <c r="E21" s="24" t="n">
        <v>2.5</v>
      </c>
      <c r="F21" s="23" t="n">
        <v>2.18</v>
      </c>
      <c r="G21" s="23" t="n">
        <v>101.3875</v>
      </c>
      <c r="H21" s="23" t="n">
        <v>-3.06</v>
      </c>
      <c r="I21" s="23" t="n">
        <v>69.1559680777238</v>
      </c>
      <c r="J21" s="23" t="n">
        <v>2.336232512615533</v>
      </c>
      <c r="K21" s="23" t="n">
        <v>47.07</v>
      </c>
      <c r="L21" s="23" t="n">
        <v>50</v>
      </c>
      <c r="M21" s="23" t="n">
        <v>0.758</v>
      </c>
      <c r="N21" s="23" t="n">
        <v>50</v>
      </c>
      <c r="O21" s="23" t="n">
        <v>22.55</v>
      </c>
      <c r="P21" s="23" t="n">
        <v>1.72</v>
      </c>
      <c r="Q21" s="24" t="n">
        <v>184.18</v>
      </c>
      <c r="R21" s="23" t="n">
        <v>73.285</v>
      </c>
      <c r="S21" s="23" t="n">
        <v>4.2</v>
      </c>
      <c r="T21" s="23" t="n">
        <v>3986.15</v>
      </c>
      <c r="U21" s="23" t="n">
        <v>-0.01</v>
      </c>
      <c r="V21" s="23" t="n">
        <v>0.27</v>
      </c>
    </row>
    <row r="22">
      <c r="A22" s="22" t="inlineStr">
        <is>
          <t>2026-07-01 13:20:32</t>
        </is>
      </c>
      <c r="B22" s="23" t="n">
        <v>870.5</v>
      </c>
      <c r="C22" s="23" t="n">
        <v>4.88</v>
      </c>
      <c r="D22" s="23" t="n">
        <v>122.5938713264953</v>
      </c>
      <c r="E22" s="24" t="n">
        <v>2.5</v>
      </c>
      <c r="F22" s="23" t="n">
        <v>2.16</v>
      </c>
      <c r="G22" s="23" t="n">
        <v>101.2764</v>
      </c>
      <c r="H22" s="23" t="n">
        <v>-3.06</v>
      </c>
      <c r="I22" s="23" t="n">
        <v>69.03127715030409</v>
      </c>
      <c r="J22" s="23" t="n">
        <v>2.328378940705532</v>
      </c>
      <c r="K22" s="23" t="n">
        <v>50.95</v>
      </c>
      <c r="L22" s="23" t="n">
        <v>50</v>
      </c>
      <c r="M22" s="23" t="n">
        <v>0.802</v>
      </c>
      <c r="N22" s="23" t="n">
        <v>50</v>
      </c>
      <c r="O22" s="23" t="n">
        <v>22.09</v>
      </c>
      <c r="P22" s="23" t="n">
        <v>1.66</v>
      </c>
      <c r="Q22" s="24" t="n">
        <v>184.18</v>
      </c>
      <c r="R22" s="23" t="n">
        <v>73.197</v>
      </c>
      <c r="S22" s="23" t="n">
        <v>4.2</v>
      </c>
      <c r="T22" s="23" t="n">
        <v>3972.75</v>
      </c>
      <c r="U22" s="23" t="n">
        <v>-0.01</v>
      </c>
      <c r="V22" s="23" t="n">
        <v>0.11</v>
      </c>
    </row>
    <row r="23">
      <c r="A23" t="inlineStr">
        <is>
          <t>2026-07-02 12:56:32</t>
        </is>
      </c>
      <c r="B23" t="n">
        <v>870.5</v>
      </c>
      <c r="C23" t="n">
        <v>4.88</v>
      </c>
      <c r="D23" t="n">
        <v>122.5938713264953</v>
      </c>
      <c r="E23" t="n">
        <v>2.5</v>
      </c>
      <c r="F23" t="n">
        <v>2.2</v>
      </c>
      <c r="G23" t="n">
        <v>101.326</v>
      </c>
      <c r="H23" t="n">
        <v>-3.12</v>
      </c>
      <c r="I23" t="n">
        <v>67.62506240639041</v>
      </c>
      <c r="J23" t="n">
        <v>2.381619125205863</v>
      </c>
      <c r="K23" t="n">
        <v>48.48</v>
      </c>
      <c r="L23" t="n">
        <v>50</v>
      </c>
      <c r="M23" t="n">
        <v>0.722</v>
      </c>
      <c r="N23" t="n">
        <v>50</v>
      </c>
      <c r="O23" t="n">
        <v>22.32</v>
      </c>
      <c r="P23" t="n">
        <v>1.52</v>
      </c>
      <c r="Q23" t="n">
        <v>173.64</v>
      </c>
      <c r="R23" t="n">
        <v>70.852</v>
      </c>
      <c r="S23" t="n">
        <v>4.2</v>
      </c>
      <c r="T23" t="n">
        <v>4063.59</v>
      </c>
      <c r="U23" t="n">
        <v>-0.01</v>
      </c>
      <c r="V23" t="n">
        <v>-0.09</v>
      </c>
    </row>
    <row r="24">
      <c r="A24" t="inlineStr">
        <is>
          <t>2026-07-03 12:40:37</t>
        </is>
      </c>
      <c r="B24" t="n">
        <v>870.5</v>
      </c>
      <c r="C24" t="n">
        <v>4.88</v>
      </c>
      <c r="D24" t="n">
        <v>122.5938713264953</v>
      </c>
      <c r="E24" t="n">
        <v>2.5</v>
      </c>
      <c r="F24" t="n">
        <v>2.25</v>
      </c>
      <c r="G24" t="n">
        <v>100.7764</v>
      </c>
      <c r="H24" t="n">
        <v>-3.24</v>
      </c>
      <c r="I24" t="n">
        <v>66.96632996632997</v>
      </c>
      <c r="J24" t="n">
        <v>2.44790561647609</v>
      </c>
      <c r="K24" t="n">
        <v>39.25</v>
      </c>
      <c r="L24" t="n">
        <v>50</v>
      </c>
      <c r="M24" t="n">
        <v>0.54</v>
      </c>
      <c r="N24" t="n">
        <v>50</v>
      </c>
      <c r="O24" t="n">
        <v>22.040001</v>
      </c>
      <c r="P24" t="n">
        <v>1.51</v>
      </c>
      <c r="Q24" t="n">
        <v>173.64</v>
      </c>
      <c r="R24" t="n">
        <v>72.288</v>
      </c>
      <c r="S24" t="n">
        <v>4.2</v>
      </c>
      <c r="T24" t="n">
        <v>4176.69</v>
      </c>
      <c r="U24" t="n">
        <v>-0.01</v>
      </c>
      <c r="V24" t="n">
        <v>-0.09</v>
      </c>
    </row>
    <row r="25">
      <c r="A25" t="inlineStr">
        <is>
          <t>数据说明：</t>
        </is>
      </c>
    </row>
    <row r="26">
      <c r="A26" t="inlineStr">
        <is>
          <t>MACD背离: 100=底背离, 50=无背离, 0=顶背离</t>
        </is>
      </c>
    </row>
    <row r="27">
      <c r="A27" t="inlineStr">
        <is>
          <t>布林带状态: 100=触下轨扩口, 50=中性, 0=触上轨扩口</t>
        </is>
      </c>
    </row>
    <row r="28">
      <c r="A28" t="inlineStr">
        <is>
          <t>Fed预期差: 正数=预期降息bp, 负数=预期加息bp</t>
        </is>
      </c>
    </row>
    <row r="29">
      <c r="A29" t="inlineStr">
        <is>
          <t>2026-07-04 12:33:56</t>
        </is>
      </c>
      <c r="B29" t="n">
        <v>870.5</v>
      </c>
      <c r="C29" t="n">
        <v>4.88</v>
      </c>
      <c r="D29" t="n">
        <v>122.5938713264953</v>
      </c>
      <c r="E29" t="n">
        <v>2.5</v>
      </c>
      <c r="F29" t="n">
        <v>2.25</v>
      </c>
      <c r="G29" t="n">
        <v>100.8657</v>
      </c>
      <c r="H29" t="n">
        <v>-3.24</v>
      </c>
      <c r="I29" t="n">
        <v>66.94627966645287</v>
      </c>
      <c r="J29" t="n">
        <v>2.446780328560628</v>
      </c>
      <c r="K29" t="n">
        <v>39.25</v>
      </c>
      <c r="L29" t="n">
        <v>50</v>
      </c>
      <c r="M29" t="n">
        <v>0.54</v>
      </c>
      <c r="N29" t="n">
        <v>50</v>
      </c>
      <c r="O29" t="n">
        <v>22.040001</v>
      </c>
      <c r="Q29" t="n">
        <v>173.64</v>
      </c>
      <c r="R29" t="n">
        <v>71.995</v>
      </c>
      <c r="S29" t="n">
        <v>4.2</v>
      </c>
      <c r="T29" t="n">
        <v>4174.77</v>
      </c>
      <c r="U29" t="n">
        <v>-0.01</v>
      </c>
      <c r="V29" t="n">
        <v>0</v>
      </c>
    </row>
    <row r="30">
      <c r="A30" t="inlineStr">
        <is>
          <t>2026-07-05 12:55:29</t>
        </is>
      </c>
      <c r="B30" t="n">
        <v>870.5</v>
      </c>
      <c r="C30" t="n">
        <v>4.88</v>
      </c>
      <c r="D30" t="n">
        <v>122.5938713264953</v>
      </c>
      <c r="E30" t="n">
        <v>2.5</v>
      </c>
      <c r="F30" t="n">
        <v>2.25</v>
      </c>
      <c r="G30" t="n">
        <v>100.8657</v>
      </c>
      <c r="H30" t="n">
        <v>-3.24</v>
      </c>
      <c r="I30" t="n">
        <v>66.94627966645287</v>
      </c>
      <c r="J30" t="n">
        <v>2.446780328560628</v>
      </c>
      <c r="K30" t="n">
        <v>39.25</v>
      </c>
      <c r="L30" t="n">
        <v>50</v>
      </c>
      <c r="M30" t="n">
        <v>0.54</v>
      </c>
      <c r="N30" t="n">
        <v>50</v>
      </c>
      <c r="O30" t="n">
        <v>22.24</v>
      </c>
      <c r="Q30" t="n">
        <v>173.64</v>
      </c>
      <c r="R30" t="n">
        <v>71.995</v>
      </c>
      <c r="S30" t="n">
        <v>4.2</v>
      </c>
      <c r="T30" t="n">
        <v>4174.77</v>
      </c>
      <c r="U30" t="n">
        <v>-0.01</v>
      </c>
      <c r="V30" t="n">
        <v>0</v>
      </c>
    </row>
    <row r="31">
      <c r="A31" t="inlineStr">
        <is>
          <t>2026-07-06 12:55:53</t>
        </is>
      </c>
      <c r="B31" t="n">
        <v>870.5</v>
      </c>
      <c r="C31" t="n">
        <v>4.88</v>
      </c>
      <c r="D31" t="n">
        <v>122.5938713264953</v>
      </c>
      <c r="E31" t="n">
        <v>2.5</v>
      </c>
      <c r="F31" t="n">
        <v>2.25</v>
      </c>
      <c r="G31" t="n">
        <v>100.9489</v>
      </c>
      <c r="H31" t="n">
        <v>-3.24</v>
      </c>
      <c r="I31" t="n">
        <v>67.30948527031401</v>
      </c>
      <c r="J31" t="n">
        <v>2.437174355157277</v>
      </c>
      <c r="K31" t="n">
        <v>39.25</v>
      </c>
      <c r="L31" t="n">
        <v>50</v>
      </c>
      <c r="M31" t="n">
        <v>0.54</v>
      </c>
      <c r="N31" t="n">
        <v>50</v>
      </c>
      <c r="O31" t="n">
        <v>22.24</v>
      </c>
      <c r="Q31" t="n">
        <v>173.64</v>
      </c>
      <c r="R31" t="n">
        <v>71.81100000000001</v>
      </c>
      <c r="S31" t="n">
        <v>4.2</v>
      </c>
      <c r="T31" t="n">
        <v>4158.38</v>
      </c>
      <c r="U31" t="n">
        <v>-0.01</v>
      </c>
      <c r="V31" t="n">
        <v>0.08</v>
      </c>
    </row>
    <row r="32">
      <c r="A32" t="inlineStr">
        <is>
          <t>2026-07-06 13:09:11</t>
        </is>
      </c>
      <c r="B32" t="n">
        <v>870.5</v>
      </c>
      <c r="C32" t="n">
        <v>4.88</v>
      </c>
      <c r="D32" t="n">
        <v>122.5938713264953</v>
      </c>
      <c r="E32" t="n">
        <v>2.5</v>
      </c>
      <c r="F32" t="n">
        <v>2.25</v>
      </c>
      <c r="G32" t="n">
        <v>100.9831</v>
      </c>
      <c r="H32" t="n">
        <v>-3.24</v>
      </c>
      <c r="I32" t="n">
        <v>67.28511258707275</v>
      </c>
      <c r="J32" t="n">
        <v>2.434320109246702</v>
      </c>
      <c r="K32" t="n">
        <v>39.25</v>
      </c>
      <c r="L32" t="n">
        <v>50</v>
      </c>
      <c r="M32" t="n">
        <v>0.54</v>
      </c>
      <c r="N32" t="n">
        <v>50</v>
      </c>
      <c r="O32" t="n">
        <v>22.24</v>
      </c>
      <c r="Q32" t="n">
        <v>173.64</v>
      </c>
      <c r="R32" t="n">
        <v>72</v>
      </c>
      <c r="S32" t="n">
        <v>4.2</v>
      </c>
      <c r="T32" t="n">
        <v>4153.51</v>
      </c>
      <c r="U32" t="n">
        <v>-0.01</v>
      </c>
      <c r="V32" t="n">
        <v>0.12</v>
      </c>
    </row>
    <row r="33">
      <c r="A33" t="inlineStr">
        <is>
          <t>2026-07-07 12:51:21</t>
        </is>
      </c>
      <c r="B33" t="n">
        <v>870.5</v>
      </c>
      <c r="C33" t="n">
        <v>4.88</v>
      </c>
      <c r="D33" t="n">
        <v>122.5938713264953</v>
      </c>
      <c r="E33" t="n">
        <v>2.5</v>
      </c>
      <c r="F33" t="n">
        <v>2.26</v>
      </c>
      <c r="G33" t="n">
        <v>100.8592</v>
      </c>
      <c r="H33" t="n">
        <v>-2.88</v>
      </c>
      <c r="I33" t="n">
        <v>67.7481542247744</v>
      </c>
      <c r="J33" t="n">
        <v>2.420101627564865</v>
      </c>
      <c r="K33" t="n">
        <v>44.4</v>
      </c>
      <c r="L33" t="n">
        <v>50</v>
      </c>
      <c r="M33" t="n">
        <v>0.402</v>
      </c>
      <c r="N33" t="n">
        <v>50</v>
      </c>
      <c r="O33" t="n">
        <v>21.49</v>
      </c>
      <c r="P33" t="n">
        <v>1.52</v>
      </c>
      <c r="Q33" t="n">
        <v>173.64</v>
      </c>
      <c r="R33" t="n">
        <v>72.52200000000001</v>
      </c>
      <c r="S33" t="n">
        <v>4.2</v>
      </c>
      <c r="T33" t="n">
        <v>4129.25</v>
      </c>
      <c r="U33" t="n">
        <v>-0.01</v>
      </c>
      <c r="V33" t="n">
        <v>-0.01</v>
      </c>
    </row>
    <row r="34">
      <c r="A34" t="inlineStr">
        <is>
          <t>2026-07-08 12:13:21</t>
        </is>
      </c>
      <c r="B34" t="n">
        <v>870.5</v>
      </c>
      <c r="C34" t="n">
        <v>4.88</v>
      </c>
      <c r="D34" t="n">
        <v>122.5938713264953</v>
      </c>
      <c r="E34" t="n">
        <v>2.5</v>
      </c>
      <c r="F34" t="n">
        <v>2.24</v>
      </c>
      <c r="G34" t="n">
        <v>101.1102</v>
      </c>
      <c r="H34" t="n">
        <v>-2.59</v>
      </c>
      <c r="I34" t="n">
        <v>68.3762015246934</v>
      </c>
      <c r="J34" t="n">
        <v>2.418091347590887</v>
      </c>
      <c r="K34" t="n">
        <v>46.2</v>
      </c>
      <c r="L34" t="n">
        <v>50</v>
      </c>
      <c r="M34" t="n">
        <v>0.368</v>
      </c>
      <c r="N34" t="n">
        <v>50</v>
      </c>
      <c r="O34" t="n">
        <v>21.69</v>
      </c>
      <c r="P34" t="n">
        <v>1.45</v>
      </c>
      <c r="Q34" t="n">
        <v>173.64</v>
      </c>
      <c r="R34" t="n">
        <v>76.143</v>
      </c>
      <c r="S34" t="n">
        <v>4.2</v>
      </c>
      <c r="T34" t="n">
        <v>4125.82</v>
      </c>
      <c r="U34" t="n">
        <v>-0.01</v>
      </c>
      <c r="V34" t="n">
        <v>0.02</v>
      </c>
    </row>
    <row r="35">
      <c r="A35" t="inlineStr">
        <is>
          <t>2026-07-09 12:51:15</t>
        </is>
      </c>
      <c r="B35" t="n">
        <v>870.5</v>
      </c>
      <c r="C35" t="n">
        <v>4.88</v>
      </c>
      <c r="D35" t="n">
        <v>122.5938713264953</v>
      </c>
      <c r="E35" t="n">
        <v>2.5</v>
      </c>
      <c r="F35" t="n">
        <v>2.3</v>
      </c>
      <c r="G35" t="n">
        <v>100.9757</v>
      </c>
      <c r="H35" t="n">
        <v>-2.59</v>
      </c>
      <c r="I35" t="n">
        <v>70.11183983431137</v>
      </c>
      <c r="J35" t="n">
        <v>2.380851350638542</v>
      </c>
      <c r="K35" t="n">
        <v>49.37</v>
      </c>
      <c r="L35" t="n">
        <v>50</v>
      </c>
      <c r="M35" t="n">
        <v>0.166</v>
      </c>
      <c r="N35" t="n">
        <v>50</v>
      </c>
      <c r="O35" t="n">
        <v>22.01</v>
      </c>
      <c r="P35" t="n">
        <v>1.44</v>
      </c>
      <c r="Q35" t="n">
        <v>173.64</v>
      </c>
      <c r="R35" t="n">
        <v>78.89700000000001</v>
      </c>
      <c r="S35" t="n">
        <v>4.2</v>
      </c>
      <c r="T35" t="n">
        <v>4062.28</v>
      </c>
      <c r="U35" t="n">
        <v>-0.01</v>
      </c>
      <c r="V35" t="n">
        <v>-0.09</v>
      </c>
    </row>
    <row r="36">
      <c r="A36" t="inlineStr">
        <is>
          <t>2026-07-10 12:50:40</t>
        </is>
      </c>
      <c r="B36" t="n">
        <v>870.5</v>
      </c>
      <c r="C36" t="n">
        <v>4.88</v>
      </c>
      <c r="D36" t="n">
        <v>122.5938713264953</v>
      </c>
      <c r="E36" t="n">
        <v>2.5</v>
      </c>
      <c r="F36" t="n">
        <v>2.31</v>
      </c>
      <c r="G36" t="n">
        <v>100.7793</v>
      </c>
      <c r="H36" t="n">
        <v>-2.26</v>
      </c>
      <c r="I36" t="n">
        <v>68.19711777372868</v>
      </c>
      <c r="J36" t="n">
        <v>2.412957221476589</v>
      </c>
      <c r="K36" t="n">
        <v>55.87</v>
      </c>
      <c r="L36" t="n">
        <v>50</v>
      </c>
      <c r="M36" t="n">
        <v>0.124</v>
      </c>
      <c r="N36" t="n">
        <v>50</v>
      </c>
      <c r="O36" t="n">
        <v>21.58</v>
      </c>
      <c r="P36" t="n">
        <v>1.46</v>
      </c>
      <c r="Q36" t="n">
        <v>173.64</v>
      </c>
      <c r="R36" t="n">
        <v>76.565</v>
      </c>
      <c r="S36" t="n">
        <v>4.2</v>
      </c>
      <c r="T36" t="n">
        <v>4117.06</v>
      </c>
      <c r="U36" t="n">
        <v>-0.01</v>
      </c>
      <c r="V36" t="n">
        <v>-0.15</v>
      </c>
    </row>
    <row r="37">
      <c r="A37" t="inlineStr">
        <is>
          <t>2026-07-11 12:11:44</t>
        </is>
      </c>
      <c r="B37" t="n">
        <v>870.5</v>
      </c>
      <c r="C37" t="n">
        <v>4.88</v>
      </c>
      <c r="D37" t="n">
        <v>122.5938713264953</v>
      </c>
      <c r="E37" t="n">
        <v>2.5</v>
      </c>
      <c r="F37" t="n">
        <v>2.31</v>
      </c>
      <c r="G37" t="n">
        <v>100.9609</v>
      </c>
      <c r="H37" t="n">
        <v>-2.49</v>
      </c>
      <c r="I37" t="n">
        <v>68.83372326203208</v>
      </c>
      <c r="J37" t="n">
        <v>2.414100092015731</v>
      </c>
      <c r="K37" t="n">
        <v>42.04</v>
      </c>
      <c r="L37" t="n">
        <v>50</v>
      </c>
      <c r="M37" t="n">
        <v>-0.07199999999999999</v>
      </c>
      <c r="N37" t="n">
        <v>50</v>
      </c>
      <c r="O37" t="n">
        <v>21.13</v>
      </c>
      <c r="P37" t="n">
        <v>1.44</v>
      </c>
      <c r="Q37" t="n">
        <v>173.64</v>
      </c>
      <c r="R37" t="n">
        <v>75.229</v>
      </c>
      <c r="S37" t="n">
        <v>4.2</v>
      </c>
      <c r="T37" t="n">
        <v>4119.01</v>
      </c>
      <c r="U37" t="n">
        <v>-0.02</v>
      </c>
      <c r="V37" t="n">
        <v>0.03</v>
      </c>
    </row>
    <row r="38">
      <c r="A38" t="inlineStr">
        <is>
          <t>2026-07-12 12:24:23</t>
        </is>
      </c>
      <c r="B38" t="n">
        <v>870.5</v>
      </c>
      <c r="C38" t="n">
        <v>4.88</v>
      </c>
      <c r="D38" t="n">
        <v>122.5938713264953</v>
      </c>
      <c r="E38" t="n">
        <v>2.5</v>
      </c>
      <c r="F38" t="n">
        <v>2.31</v>
      </c>
      <c r="G38" t="n">
        <v>100.9609</v>
      </c>
      <c r="H38" t="n">
        <v>-2.49</v>
      </c>
      <c r="I38" t="n">
        <v>68.83372326203208</v>
      </c>
      <c r="J38" t="n">
        <v>2.414100092015731</v>
      </c>
      <c r="K38" t="n">
        <v>42.04</v>
      </c>
      <c r="L38" t="n">
        <v>50</v>
      </c>
      <c r="M38" t="n">
        <v>-0.07199999999999999</v>
      </c>
      <c r="N38" t="n">
        <v>50</v>
      </c>
      <c r="O38" t="n">
        <v>21.13</v>
      </c>
      <c r="P38" t="n">
        <v>1.44</v>
      </c>
      <c r="Q38" t="n">
        <v>173.64</v>
      </c>
      <c r="R38" t="n">
        <v>75.229</v>
      </c>
      <c r="S38" t="n">
        <v>4.2</v>
      </c>
      <c r="T38" t="n">
        <v>4119.01</v>
      </c>
      <c r="U38" t="n">
        <v>-0.02</v>
      </c>
      <c r="V38" t="n">
        <v>0.03</v>
      </c>
    </row>
    <row r="39">
      <c r="A39" t="inlineStr">
        <is>
          <t>2026-07-13 12:29:28</t>
        </is>
      </c>
      <c r="B39" t="n">
        <v>870.5</v>
      </c>
      <c r="C39" t="n">
        <v>4.88</v>
      </c>
      <c r="D39" t="n">
        <v>122.5938713264953</v>
      </c>
      <c r="E39" t="n">
        <v>2.5</v>
      </c>
      <c r="F39" t="n">
        <v>2.31</v>
      </c>
      <c r="G39" t="n">
        <v>101.108</v>
      </c>
      <c r="H39" t="n">
        <v>-2.49</v>
      </c>
      <c r="I39" t="n">
        <v>69.79579889807162</v>
      </c>
      <c r="J39" t="n">
        <v>2.375846163764557</v>
      </c>
      <c r="K39" t="n">
        <v>42.04</v>
      </c>
      <c r="L39" t="n">
        <v>50</v>
      </c>
      <c r="M39" t="n">
        <v>-0.07199999999999999</v>
      </c>
      <c r="N39" t="n">
        <v>50</v>
      </c>
      <c r="O39" t="n">
        <v>21.13</v>
      </c>
      <c r="P39" t="n">
        <v>1.44</v>
      </c>
      <c r="Q39" t="n">
        <v>173.64</v>
      </c>
      <c r="R39" t="n">
        <v>79.163</v>
      </c>
      <c r="S39" t="n">
        <v>4.2</v>
      </c>
      <c r="T39" t="n">
        <v>4053.74</v>
      </c>
      <c r="U39" t="n">
        <v>-0.01</v>
      </c>
      <c r="V39" t="n">
        <v>0.15</v>
      </c>
    </row>
    <row r="40">
      <c r="A40" t="inlineStr">
        <is>
          <t>2026-07-14 11:55:32</t>
        </is>
      </c>
      <c r="B40" t="n">
        <v>870.5</v>
      </c>
      <c r="C40" t="n">
        <v>4.88</v>
      </c>
      <c r="D40" t="n">
        <v>122.5938713264953</v>
      </c>
      <c r="E40" t="n">
        <v>2.5</v>
      </c>
      <c r="F40" t="n">
        <v>2.32</v>
      </c>
      <c r="G40" t="n">
        <v>101.172</v>
      </c>
      <c r="H40" t="n">
        <v>-2.49</v>
      </c>
      <c r="I40" t="n">
        <v>69.67308359347902</v>
      </c>
      <c r="J40" t="n">
        <v>2.354518441241802</v>
      </c>
      <c r="K40" t="n">
        <v>40.33</v>
      </c>
      <c r="L40" t="n">
        <v>50</v>
      </c>
      <c r="M40" t="n">
        <v>-0.424</v>
      </c>
      <c r="N40" t="n">
        <v>50</v>
      </c>
      <c r="O40" t="n">
        <v>21.78</v>
      </c>
      <c r="P40" t="n">
        <v>1.38</v>
      </c>
      <c r="Q40" t="n">
        <v>173.64</v>
      </c>
      <c r="R40" t="n">
        <v>84.544</v>
      </c>
      <c r="S40" t="n">
        <v>4.2</v>
      </c>
      <c r="T40" t="n">
        <v>4017.35</v>
      </c>
      <c r="U40" t="n">
        <v>-0.01</v>
      </c>
      <c r="V40" t="n">
        <v>-0.13</v>
      </c>
    </row>
    <row r="41">
      <c r="A41" t="inlineStr">
        <is>
          <t>2026-07-15 11:56:57</t>
        </is>
      </c>
      <c r="B41" t="n">
        <v>870.5</v>
      </c>
      <c r="C41" t="n">
        <v>4.88</v>
      </c>
      <c r="D41" t="n">
        <v>122.5938713264953</v>
      </c>
      <c r="E41" t="n">
        <v>2.5</v>
      </c>
      <c r="F41" t="n">
        <v>2.36</v>
      </c>
      <c r="G41" t="n">
        <v>100.7977</v>
      </c>
      <c r="H41" t="n">
        <v>-2.18</v>
      </c>
      <c r="I41" t="n">
        <v>69.03749999999999</v>
      </c>
      <c r="J41" t="n">
        <v>2.362981544106011</v>
      </c>
      <c r="K41" t="n">
        <v>51.8</v>
      </c>
      <c r="L41" t="n">
        <v>50</v>
      </c>
      <c r="M41" t="n">
        <v>-0.526</v>
      </c>
      <c r="N41" t="n">
        <v>50</v>
      </c>
      <c r="O41" t="n">
        <v>21.51</v>
      </c>
      <c r="P41" t="n">
        <v>1.42</v>
      </c>
      <c r="Q41" t="n">
        <v>173.64</v>
      </c>
      <c r="R41" t="n">
        <v>85.783</v>
      </c>
      <c r="S41" t="n">
        <v>3.5</v>
      </c>
      <c r="T41" t="n">
        <v>4031.79</v>
      </c>
      <c r="U41" t="n">
        <v>-0.01</v>
      </c>
      <c r="V41" t="n">
        <v>-0.13</v>
      </c>
    </row>
    <row r="42">
      <c r="A42" t="inlineStr">
        <is>
          <t>2026-07-16 12:07:34</t>
        </is>
      </c>
      <c r="B42" t="n">
        <v>870.5</v>
      </c>
      <c r="C42" t="n">
        <v>4.88</v>
      </c>
      <c r="D42" t="n">
        <v>122.5938713264953</v>
      </c>
      <c r="E42" t="n">
        <v>2.5</v>
      </c>
      <c r="F42" t="n">
        <v>2.33</v>
      </c>
      <c r="G42" t="n">
        <v>100.5147</v>
      </c>
      <c r="H42" t="n">
        <v>-2.27</v>
      </c>
      <c r="I42" t="n">
        <v>70.59740941711885</v>
      </c>
      <c r="J42" t="n">
        <v>2.363825510042608</v>
      </c>
      <c r="K42" t="n">
        <v>44.64</v>
      </c>
      <c r="L42" t="n">
        <v>50</v>
      </c>
      <c r="M42" t="n">
        <v>-0.498</v>
      </c>
      <c r="N42" t="n">
        <v>50</v>
      </c>
      <c r="O42" t="n">
        <v>20.85</v>
      </c>
      <c r="P42" t="n">
        <v>1.45</v>
      </c>
      <c r="Q42" t="n">
        <v>173.64</v>
      </c>
      <c r="R42" t="n">
        <v>84.756</v>
      </c>
      <c r="S42" t="n">
        <v>3.5</v>
      </c>
      <c r="T42" t="n">
        <v>4033.23</v>
      </c>
      <c r="U42" t="n">
        <v>-0.01</v>
      </c>
      <c r="V42" t="n">
        <v>0</v>
      </c>
    </row>
    <row r="43">
      <c r="A43" t="inlineStr">
        <is>
          <t>2026-07-17 11:58:34</t>
        </is>
      </c>
      <c r="B43" t="n">
        <v>870.5</v>
      </c>
      <c r="C43" t="n">
        <v>4.88</v>
      </c>
      <c r="D43" t="n">
        <v>122.5938713264953</v>
      </c>
      <c r="E43" t="n">
        <v>2.5</v>
      </c>
      <c r="F43" t="n">
        <v>2.32</v>
      </c>
      <c r="G43" t="n">
        <v>100.7602</v>
      </c>
      <c r="H43" t="n">
        <v>-2.27</v>
      </c>
      <c r="I43" t="n">
        <v>72.0588553890594</v>
      </c>
      <c r="J43" t="n">
        <v>2.339274306512018</v>
      </c>
      <c r="K43" t="n">
        <v>31.6</v>
      </c>
      <c r="L43" t="n">
        <v>50</v>
      </c>
      <c r="M43" t="n">
        <v>-0.57</v>
      </c>
      <c r="N43" t="n">
        <v>50</v>
      </c>
      <c r="O43" t="n">
        <v>21.45</v>
      </c>
      <c r="P43" t="n">
        <v>1.43</v>
      </c>
      <c r="Q43" t="n">
        <v>173.64</v>
      </c>
      <c r="R43" t="n">
        <v>85.01300000000001</v>
      </c>
      <c r="S43" t="n">
        <v>3.5</v>
      </c>
      <c r="T43" t="n">
        <v>3991.34</v>
      </c>
      <c r="U43" t="n">
        <v>-0.01</v>
      </c>
      <c r="V43" t="n">
        <v>0.04</v>
      </c>
    </row>
    <row r="44">
      <c r="A44" t="inlineStr">
        <is>
          <t>2026-07-18 11:53:37</t>
        </is>
      </c>
      <c r="B44" t="n">
        <v>870.5</v>
      </c>
      <c r="C44" t="n">
        <v>4.88</v>
      </c>
      <c r="D44" t="n">
        <v>122.5938713264953</v>
      </c>
      <c r="E44" t="n">
        <v>2.5</v>
      </c>
      <c r="F44" t="n">
        <v>2.35</v>
      </c>
      <c r="G44" t="n">
        <v>100.7617</v>
      </c>
      <c r="H44" t="n">
        <v>-2.05</v>
      </c>
      <c r="I44" t="n">
        <v>71.86187153336913</v>
      </c>
      <c r="J44" t="n">
        <v>2.353938214660392</v>
      </c>
      <c r="K44" t="n">
        <v>41.87</v>
      </c>
      <c r="L44" t="n">
        <v>50</v>
      </c>
      <c r="M44" t="n">
        <v>-0.422</v>
      </c>
      <c r="N44" t="n">
        <v>50</v>
      </c>
      <c r="O44" t="n">
        <v>22.48</v>
      </c>
      <c r="P44" t="n">
        <v>1.45</v>
      </c>
      <c r="Q44" t="n">
        <v>173.64</v>
      </c>
      <c r="R44" t="n">
        <v>88.273</v>
      </c>
      <c r="S44" t="n">
        <v>3.5</v>
      </c>
      <c r="T44" t="n">
        <v>4016.36</v>
      </c>
      <c r="U44" t="n">
        <v>-0.02</v>
      </c>
      <c r="V44" t="n">
        <v>0.04</v>
      </c>
    </row>
    <row r="45">
      <c r="A45" t="inlineStr">
        <is>
          <t>2026-07-19 12:22:42</t>
        </is>
      </c>
      <c r="B45" t="n">
        <v>870.5</v>
      </c>
      <c r="C45" t="n">
        <v>4.88</v>
      </c>
      <c r="D45" t="n">
        <v>122.5938713264953</v>
      </c>
      <c r="E45" t="n">
        <v>2.5</v>
      </c>
      <c r="F45" t="n">
        <v>2.35</v>
      </c>
      <c r="G45" t="n">
        <v>100.7617</v>
      </c>
      <c r="H45" t="n">
        <v>-2.05</v>
      </c>
      <c r="I45" t="n">
        <v>71.86187153336913</v>
      </c>
      <c r="J45" t="n">
        <v>2.353938214660392</v>
      </c>
      <c r="K45" t="n">
        <v>41.87</v>
      </c>
      <c r="L45" t="n">
        <v>50</v>
      </c>
      <c r="M45" t="n">
        <v>-0.422</v>
      </c>
      <c r="N45" t="n">
        <v>50</v>
      </c>
      <c r="O45" t="n">
        <v>22.48</v>
      </c>
      <c r="P45" t="n">
        <v>1.45</v>
      </c>
      <c r="Q45" t="n">
        <v>173.64</v>
      </c>
      <c r="R45" t="n">
        <v>88.273</v>
      </c>
      <c r="S45" t="n">
        <v>3.5</v>
      </c>
      <c r="T45" t="n">
        <v>4016.36</v>
      </c>
      <c r="U45" t="n">
        <v>-0.02</v>
      </c>
      <c r="V45" t="n">
        <v>0.04</v>
      </c>
    </row>
    <row r="46">
      <c r="A46" t="inlineStr">
        <is>
          <t>2026-07-20 12:34:40</t>
        </is>
      </c>
      <c r="B46" t="n">
        <v>870.5</v>
      </c>
      <c r="C46" t="n">
        <v>4.88</v>
      </c>
      <c r="D46" t="n">
        <v>122.5938713264953</v>
      </c>
      <c r="E46" t="n">
        <v>2.5</v>
      </c>
      <c r="F46" t="n">
        <v>2.35</v>
      </c>
      <c r="G46" t="n">
        <v>100.6961</v>
      </c>
      <c r="H46" t="n">
        <v>-2.05</v>
      </c>
      <c r="I46" t="n">
        <v>70.64389815627743</v>
      </c>
      <c r="J46" t="n">
        <v>2.357929470235549</v>
      </c>
      <c r="K46" t="n">
        <v>41.87</v>
      </c>
      <c r="L46" t="n">
        <v>50</v>
      </c>
      <c r="M46" t="n">
        <v>-0.422</v>
      </c>
      <c r="N46" t="n">
        <v>50</v>
      </c>
      <c r="O46" t="n">
        <v>22.48</v>
      </c>
      <c r="P46" t="n">
        <v>1.45</v>
      </c>
      <c r="Q46" t="n">
        <v>173.64</v>
      </c>
      <c r="R46" t="n">
        <v>90.43899999999999</v>
      </c>
      <c r="S46" t="n">
        <v>3.5</v>
      </c>
      <c r="T46" t="n">
        <v>4023.17</v>
      </c>
      <c r="U46" t="n">
        <v>-0.01</v>
      </c>
      <c r="V46" t="n">
        <v>-0.07000000000000001</v>
      </c>
    </row>
    <row r="47">
      <c r="A47" t="inlineStr">
        <is>
          <t>2026-07-21 12:14:05</t>
        </is>
      </c>
      <c r="B47" t="n">
        <v>870.5</v>
      </c>
      <c r="C47" t="n">
        <v>4.88</v>
      </c>
      <c r="D47" t="n">
        <v>122.5938713264953</v>
      </c>
      <c r="E47" t="n">
        <v>2.5</v>
      </c>
      <c r="F47" t="n">
        <v>2.31</v>
      </c>
      <c r="G47" t="n">
        <v>100.9603</v>
      </c>
      <c r="H47" t="n">
        <v>-1.27</v>
      </c>
      <c r="I47" t="n">
        <v>69.98996713371389</v>
      </c>
      <c r="J47" t="n">
        <v>2.371380177350064</v>
      </c>
      <c r="K47" t="n">
        <v>45.26</v>
      </c>
      <c r="L47" t="n">
        <v>50</v>
      </c>
      <c r="M47" t="n">
        <v>-0.228</v>
      </c>
      <c r="N47" t="n">
        <v>50</v>
      </c>
      <c r="O47" t="n">
        <v>22.12</v>
      </c>
      <c r="P47" t="n">
        <v>1.4</v>
      </c>
      <c r="Q47" t="n">
        <v>173.64</v>
      </c>
      <c r="R47" t="n">
        <v>88.43300000000001</v>
      </c>
      <c r="S47" t="n">
        <v>3.5</v>
      </c>
      <c r="T47" t="n">
        <v>4046.12</v>
      </c>
      <c r="U47" t="n">
        <v>-0.01</v>
      </c>
      <c r="V47" t="n">
        <v>-0.01</v>
      </c>
    </row>
    <row r="48">
      <c r="A48" t="inlineStr">
        <is>
          <t>2026-07-22 12:15:31</t>
        </is>
      </c>
      <c r="B48" t="n">
        <v>870.5</v>
      </c>
      <c r="C48" t="n">
        <v>4.88</v>
      </c>
      <c r="D48" t="n">
        <v>122.5938713264953</v>
      </c>
      <c r="E48" t="n">
        <v>2.5</v>
      </c>
      <c r="F48" t="n">
        <v>2.35</v>
      </c>
      <c r="G48" t="n">
        <v>101.1504</v>
      </c>
      <c r="H48" t="n">
        <v>-0.77</v>
      </c>
      <c r="I48" t="n">
        <v>69.11319490957803</v>
      </c>
      <c r="J48" t="n">
        <v>2.419040809269559</v>
      </c>
      <c r="K48" t="n">
        <v>42.88</v>
      </c>
      <c r="L48" t="n">
        <v>50</v>
      </c>
      <c r="M48" t="n">
        <v>-0.272</v>
      </c>
      <c r="N48" t="n">
        <v>50</v>
      </c>
      <c r="O48" t="n">
        <v>21.37</v>
      </c>
      <c r="P48" t="n">
        <v>1.37</v>
      </c>
      <c r="Q48" t="n">
        <v>173.64</v>
      </c>
      <c r="R48" t="n">
        <v>92.26000000000001</v>
      </c>
      <c r="S48" t="n">
        <v>3.5</v>
      </c>
      <c r="T48" t="n">
        <v>4127.44</v>
      </c>
      <c r="U48" t="n">
        <v>-0.01</v>
      </c>
      <c r="V48" t="n">
        <v>-0.06</v>
      </c>
    </row>
    <row r="49">
      <c r="A49" t="inlineStr">
        <is>
          <t>2026-07-23 12:14:27</t>
        </is>
      </c>
      <c r="B49" t="n">
        <v>870.5</v>
      </c>
      <c r="C49" t="n">
        <v>4.88</v>
      </c>
      <c r="D49" t="n">
        <v>122.5938713264953</v>
      </c>
      <c r="E49" t="n">
        <v>2.5</v>
      </c>
      <c r="F49" t="n">
        <v>2.37</v>
      </c>
      <c r="G49" t="n">
        <v>100.949</v>
      </c>
      <c r="H49" t="n">
        <v>-0.43</v>
      </c>
      <c r="I49" t="n">
        <v>68.96590909090909</v>
      </c>
      <c r="J49" t="n">
        <v>2.418736043792455</v>
      </c>
      <c r="K49" t="n">
        <v>40.58</v>
      </c>
      <c r="L49" t="n">
        <v>50</v>
      </c>
      <c r="M49" t="n">
        <v>-0.286</v>
      </c>
      <c r="N49" t="n">
        <v>50</v>
      </c>
      <c r="O49" t="n">
        <v>21.55</v>
      </c>
      <c r="P49" t="n">
        <v>1.33</v>
      </c>
      <c r="Q49" t="n">
        <v>173.64</v>
      </c>
      <c r="R49" t="n">
        <v>91.60599999999999</v>
      </c>
      <c r="S49" t="n">
        <v>3.5</v>
      </c>
      <c r="T49" t="n">
        <v>4126.92</v>
      </c>
      <c r="U49" t="n">
        <v>-0.01</v>
      </c>
      <c r="V49" t="n">
        <v>-0.17</v>
      </c>
    </row>
    <row r="50">
      <c r="A50" t="inlineStr">
        <is>
          <t>2026-07-24 12:12:52</t>
        </is>
      </c>
      <c r="B50" t="n">
        <v>870.5</v>
      </c>
      <c r="C50" t="n">
        <v>4.88</v>
      </c>
      <c r="D50" t="n">
        <v>122.5938713264953</v>
      </c>
      <c r="E50" t="n">
        <v>2.5</v>
      </c>
      <c r="F50" t="n">
        <v>2.39</v>
      </c>
      <c r="G50" t="n">
        <v>101.4056</v>
      </c>
      <c r="H50" t="n">
        <v>-0.37</v>
      </c>
      <c r="I50" t="n">
        <v>70.41566159762279</v>
      </c>
      <c r="J50" t="n">
        <v>2.256232182762155</v>
      </c>
      <c r="K50" t="n">
        <v>41.04</v>
      </c>
      <c r="L50" t="n">
        <v>50</v>
      </c>
      <c r="M50" t="n">
        <v>-0.354</v>
      </c>
      <c r="N50" t="n">
        <v>50</v>
      </c>
      <c r="O50" t="n">
        <v>22.52</v>
      </c>
      <c r="P50" t="n">
        <v>1.29</v>
      </c>
      <c r="Q50" t="n">
        <v>173.64</v>
      </c>
      <c r="R50" t="n">
        <v>93.792</v>
      </c>
      <c r="S50" t="n">
        <v>3.5</v>
      </c>
      <c r="T50" t="n">
        <v>4028.48</v>
      </c>
      <c r="U50" t="n">
        <v>-0.01</v>
      </c>
      <c r="V50" t="n">
        <v>-0.04</v>
      </c>
    </row>
    <row r="51">
      <c r="A51" t="inlineStr">
        <is>
          <t>2026-07-25 12:08:44</t>
        </is>
      </c>
      <c r="B51" t="n">
        <v>870.5</v>
      </c>
      <c r="C51" t="n">
        <v>4.88</v>
      </c>
      <c r="D51" t="n">
        <v>122.5938713264953</v>
      </c>
      <c r="E51" t="n">
        <v>2.5</v>
      </c>
      <c r="F51" t="n">
        <v>2.43</v>
      </c>
      <c r="G51" t="n">
        <v>101.4647</v>
      </c>
      <c r="H51" t="n">
        <v>-0.37</v>
      </c>
      <c r="I51" t="n">
        <v>69.66809900309384</v>
      </c>
      <c r="J51" t="n">
        <v>2.270127528017519</v>
      </c>
      <c r="K51" t="n">
        <v>47.51</v>
      </c>
      <c r="L51" t="n">
        <v>50</v>
      </c>
      <c r="M51" t="n">
        <v>-0.648</v>
      </c>
      <c r="N51" t="n">
        <v>50</v>
      </c>
      <c r="O51" t="n">
        <v>22.36</v>
      </c>
      <c r="P51" t="n">
        <v>1.31</v>
      </c>
      <c r="Q51" t="n">
        <v>173.64</v>
      </c>
      <c r="R51" t="n">
        <v>92.95399999999999</v>
      </c>
      <c r="S51" t="n">
        <v>3.5</v>
      </c>
      <c r="T51" t="n">
        <v>4053.29</v>
      </c>
      <c r="U51" t="n">
        <v>-0.01</v>
      </c>
      <c r="V51" t="n">
        <v>0.02</v>
      </c>
    </row>
    <row r="52">
      <c r="A52" t="inlineStr">
        <is>
          <t>2026-07-26 12:24:25</t>
        </is>
      </c>
      <c r="B52" t="n">
        <v>870.5</v>
      </c>
      <c r="C52" t="n">
        <v>4.88</v>
      </c>
      <c r="D52" t="n">
        <v>122.5938713264953</v>
      </c>
      <c r="E52" t="n">
        <v>2.5</v>
      </c>
      <c r="F52" t="n">
        <v>2.43</v>
      </c>
      <c r="G52" t="n">
        <v>101.4647</v>
      </c>
      <c r="H52" t="n">
        <v>-0.37</v>
      </c>
      <c r="I52" t="n">
        <v>69.66809900309384</v>
      </c>
      <c r="J52" t="n">
        <v>2.270127528017519</v>
      </c>
      <c r="K52" t="n">
        <v>47.51</v>
      </c>
      <c r="L52" t="n">
        <v>50</v>
      </c>
      <c r="M52" t="n">
        <v>-0.648</v>
      </c>
      <c r="N52" t="n">
        <v>50</v>
      </c>
      <c r="O52" t="n">
        <v>22.36</v>
      </c>
      <c r="P52" t="n">
        <v>1.31</v>
      </c>
      <c r="Q52" t="n">
        <v>173.64</v>
      </c>
      <c r="R52" t="n">
        <v>92.95399999999999</v>
      </c>
      <c r="S52" t="n">
        <v>3.5</v>
      </c>
      <c r="T52" t="n">
        <v>4053.29</v>
      </c>
      <c r="U52" t="n">
        <v>-0.01</v>
      </c>
      <c r="V52" t="n">
        <v>0.02</v>
      </c>
    </row>
    <row r="53">
      <c r="A53" t="inlineStr">
        <is>
          <t>2026-07-27 12:35:35</t>
        </is>
      </c>
      <c r="B53" t="n">
        <v>870.5</v>
      </c>
      <c r="C53" t="n">
        <v>4.88</v>
      </c>
      <c r="D53" t="n">
        <v>122.5938713264953</v>
      </c>
      <c r="E53" t="n">
        <v>2.5</v>
      </c>
      <c r="F53" t="n">
        <v>2.43</v>
      </c>
      <c r="G53" t="n">
        <v>101.211</v>
      </c>
      <c r="H53" t="n">
        <v>-0.37</v>
      </c>
      <c r="I53" t="n">
        <v>69.02632467094162</v>
      </c>
      <c r="J53" t="n">
        <v>2.290967745548841</v>
      </c>
      <c r="K53" t="n">
        <v>47.51</v>
      </c>
      <c r="L53" t="n">
        <v>50</v>
      </c>
      <c r="M53" t="n">
        <v>-0.648</v>
      </c>
      <c r="N53" t="n">
        <v>50</v>
      </c>
      <c r="O53" t="n">
        <v>22.36</v>
      </c>
      <c r="P53" t="n">
        <v>1.31</v>
      </c>
      <c r="Q53" t="n">
        <v>173.64</v>
      </c>
      <c r="R53" t="n">
        <v>87.69</v>
      </c>
      <c r="S53" t="n">
        <v>3.5</v>
      </c>
      <c r="T53" t="n">
        <v>4090.5</v>
      </c>
      <c r="U53" t="n">
        <v>-0.01</v>
      </c>
      <c r="V53" t="n">
        <v>-0.25</v>
      </c>
    </row>
    <row r="54">
      <c r="A54" t="inlineStr">
        <is>
          <t>2026-07-28 12:07:10</t>
        </is>
      </c>
      <c r="B54" t="n">
        <v>870.5</v>
      </c>
      <c r="C54" t="n">
        <v>4.88</v>
      </c>
      <c r="D54" t="n">
        <v>122.5938713264953</v>
      </c>
      <c r="E54" t="n">
        <v>2.5</v>
      </c>
      <c r="F54" t="n">
        <v>2.43</v>
      </c>
      <c r="G54" t="n">
        <v>101.4988</v>
      </c>
      <c r="H54" t="n">
        <v>-0.37</v>
      </c>
      <c r="I54" t="n">
        <v>70.62663641124105</v>
      </c>
      <c r="J54" t="n">
        <v>2.266156629272637</v>
      </c>
      <c r="K54" t="n">
        <v>47.13</v>
      </c>
      <c r="L54" t="n">
        <v>50</v>
      </c>
      <c r="M54" t="n">
        <v>-0.742</v>
      </c>
      <c r="N54" t="n">
        <v>50</v>
      </c>
      <c r="O54" t="n">
        <v>22.21</v>
      </c>
      <c r="P54" t="n">
        <v>1.35</v>
      </c>
      <c r="Q54" t="n">
        <v>173.64</v>
      </c>
      <c r="R54" t="n">
        <v>84.928</v>
      </c>
      <c r="S54" t="n">
        <v>3.5</v>
      </c>
      <c r="T54" t="n">
        <v>4046.2</v>
      </c>
      <c r="U54" t="n">
        <v>-0.01</v>
      </c>
      <c r="V54" t="n">
        <v>-0.03</v>
      </c>
    </row>
    <row r="55">
      <c r="A55" t="inlineStr">
        <is>
          <t>2026-07-29 12:10:31</t>
        </is>
      </c>
      <c r="B55" t="n">
        <v>870.5</v>
      </c>
      <c r="C55" t="n">
        <v>4.88</v>
      </c>
      <c r="D55" t="n">
        <v>122.5938713264953</v>
      </c>
      <c r="E55" t="n">
        <v>2.5</v>
      </c>
      <c r="F55" t="n">
        <v>2.44</v>
      </c>
      <c r="G55" t="n">
        <v>101.3056</v>
      </c>
      <c r="H55" t="n">
        <v>-1.15</v>
      </c>
      <c r="I55" t="n">
        <v>70.13653007846555</v>
      </c>
      <c r="J55" t="n">
        <v>2.252787750141418</v>
      </c>
      <c r="K55" t="n">
        <v>43.79</v>
      </c>
      <c r="L55" t="n">
        <v>50</v>
      </c>
      <c r="M55" t="n">
        <v>-0.764</v>
      </c>
      <c r="N55" t="n">
        <v>50</v>
      </c>
      <c r="O55" t="n">
        <v>22.030001</v>
      </c>
      <c r="P55" t="n">
        <v>1.39</v>
      </c>
      <c r="Q55" t="n">
        <v>173.64</v>
      </c>
      <c r="R55" t="n">
        <v>85.20699999999999</v>
      </c>
      <c r="S55" t="n">
        <v>3.5</v>
      </c>
      <c r="T55" t="n">
        <v>4022.33</v>
      </c>
      <c r="U55" t="n">
        <v>-0.01</v>
      </c>
      <c r="V55" t="n">
        <v>-0.11</v>
      </c>
    </row>
    <row r="56">
      <c r="A56" t="inlineStr">
        <is>
          <t>2026-07-30 11:55:28</t>
        </is>
      </c>
      <c r="B56" t="n">
        <v>870.5</v>
      </c>
      <c r="C56" t="n">
        <v>4.88</v>
      </c>
      <c r="D56" t="n">
        <v>122.5938713264953</v>
      </c>
      <c r="E56" t="n">
        <v>2.5</v>
      </c>
      <c r="F56" t="n">
        <v>2.41</v>
      </c>
      <c r="G56" t="n">
        <v>100.9416</v>
      </c>
      <c r="H56" t="n">
        <v>-1.26</v>
      </c>
      <c r="J56" t="n">
        <v>2.272614240348588</v>
      </c>
      <c r="K56" t="n">
        <v>40.61</v>
      </c>
      <c r="L56" t="n">
        <v>50</v>
      </c>
      <c r="M56" t="n">
        <v>-0.8</v>
      </c>
      <c r="N56" t="n">
        <v>50</v>
      </c>
      <c r="O56" t="n">
        <v>23.42</v>
      </c>
      <c r="P56" t="n">
        <v>1.33</v>
      </c>
      <c r="Q56" t="n">
        <v>173.64</v>
      </c>
      <c r="R56" t="n">
        <v>87.252</v>
      </c>
      <c r="S56" t="n">
        <v>3.5</v>
      </c>
      <c r="T56" t="n">
        <v>4057.73</v>
      </c>
      <c r="U56" t="n">
        <v>-0.01</v>
      </c>
      <c r="V56" t="n">
        <v>0.12</v>
      </c>
    </row>
    <row r="57">
      <c r="A57" t="inlineStr">
        <is>
          <t>2026-08-03 12:28:18</t>
        </is>
      </c>
      <c r="B57" t="n">
        <v>870.5</v>
      </c>
      <c r="C57" t="n">
        <v>4.88</v>
      </c>
      <c r="D57" t="n">
        <v>120.2930512227635</v>
      </c>
      <c r="E57" t="n">
        <v>2.5</v>
      </c>
      <c r="F57" t="n">
        <v>2.41</v>
      </c>
      <c r="G57" t="n">
        <v>99.7206</v>
      </c>
      <c r="H57" t="n">
        <v>-0.63</v>
      </c>
      <c r="I57" t="n">
        <v>69.7073337902673</v>
      </c>
      <c r="J57" t="n">
        <v>2.278433371231427</v>
      </c>
      <c r="K57" t="n">
        <v>52.14</v>
      </c>
      <c r="L57" t="n">
        <v>50</v>
      </c>
      <c r="M57" t="n">
        <v>-0.636</v>
      </c>
      <c r="N57" t="n">
        <v>50</v>
      </c>
      <c r="O57" t="n">
        <v>21.25</v>
      </c>
      <c r="P57" t="n">
        <v>1.25</v>
      </c>
      <c r="Q57" t="n">
        <v>173.64</v>
      </c>
      <c r="R57" t="n">
        <v>83.494</v>
      </c>
      <c r="S57" t="n">
        <v>3.5</v>
      </c>
      <c r="T57" t="n">
        <v>4068.12</v>
      </c>
      <c r="U57" t="n">
        <v>-0.01</v>
      </c>
      <c r="V57" t="n">
        <v>-0.06</v>
      </c>
    </row>
    <row r="58">
      <c r="A58" t="inlineStr">
        <is>
          <t>2026-08-04 12:12:13</t>
        </is>
      </c>
      <c r="B58" t="n">
        <v>870.5</v>
      </c>
      <c r="C58" t="n">
        <v>4.88</v>
      </c>
      <c r="D58" t="n">
        <v>120.2930512227635</v>
      </c>
      <c r="E58" t="n">
        <v>2.5</v>
      </c>
      <c r="F58" t="n">
        <v>2.47</v>
      </c>
      <c r="G58" t="n">
        <v>100.0225</v>
      </c>
      <c r="H58" t="n">
        <v>-0.12</v>
      </c>
      <c r="I58" t="n">
        <v>69.05825242718446</v>
      </c>
      <c r="J58" t="n">
        <v>2.270754806803735</v>
      </c>
      <c r="K58" t="n">
        <v>32.89</v>
      </c>
      <c r="L58" t="n">
        <v>50</v>
      </c>
      <c r="M58" t="n">
        <v>-0.544</v>
      </c>
      <c r="N58" t="n">
        <v>50</v>
      </c>
      <c r="O58" t="n">
        <v>21.08</v>
      </c>
      <c r="P58" t="n">
        <v>1.49</v>
      </c>
      <c r="Q58" t="n">
        <v>152.67</v>
      </c>
      <c r="R58" t="n">
        <v>85.014</v>
      </c>
      <c r="S58" t="n">
        <v>3.5</v>
      </c>
      <c r="T58" t="n">
        <v>4054.41</v>
      </c>
      <c r="U58" t="n">
        <v>-0.01</v>
      </c>
      <c r="V58" t="n">
        <v>0.06</v>
      </c>
    </row>
    <row r="59">
      <c r="A59" t="inlineStr">
        <is>
          <t>2026-08-05 11:59:11</t>
        </is>
      </c>
      <c r="B59" t="n">
        <v>870.5</v>
      </c>
      <c r="C59" t="n">
        <v>4.88</v>
      </c>
      <c r="D59" t="n">
        <v>120.2930512227635</v>
      </c>
      <c r="E59" t="n">
        <v>2.5</v>
      </c>
      <c r="F59" t="n">
        <v>2.43</v>
      </c>
      <c r="G59" t="n">
        <v>99.8009</v>
      </c>
      <c r="H59" t="n">
        <v>0.42</v>
      </c>
      <c r="I59" t="n">
        <v>67.97612775765558</v>
      </c>
      <c r="J59" t="n">
        <v>2.312457644680172</v>
      </c>
      <c r="K59" t="n">
        <v>42.4</v>
      </c>
      <c r="L59" t="n">
        <v>50</v>
      </c>
      <c r="M59" t="n">
        <v>-0.494</v>
      </c>
      <c r="N59" t="n">
        <v>50</v>
      </c>
      <c r="O59" t="n">
        <v>21.27</v>
      </c>
      <c r="P59" t="n">
        <v>1.56</v>
      </c>
      <c r="Q59" t="n">
        <v>152.67</v>
      </c>
      <c r="R59" t="n">
        <v>78.33199999999999</v>
      </c>
      <c r="S59" t="n">
        <v>3.5</v>
      </c>
      <c r="T59" t="n">
        <v>4128.87</v>
      </c>
      <c r="U59" t="n">
        <v>-0.01</v>
      </c>
      <c r="V59" t="n">
        <v>-0.06</v>
      </c>
    </row>
    <row r="60">
      <c r="A60" t="inlineStr">
        <is>
          <t>2026-08-06 12:10:40</t>
        </is>
      </c>
      <c r="B60" t="n">
        <v>870.5</v>
      </c>
      <c r="C60" t="n">
        <v>4.88</v>
      </c>
      <c r="D60" t="n">
        <v>120.2930512227635</v>
      </c>
      <c r="E60" t="n">
        <v>2.5</v>
      </c>
      <c r="F60" t="n">
        <v>2.4</v>
      </c>
      <c r="G60" t="n">
        <v>99.72280000000001</v>
      </c>
      <c r="H60" t="n">
        <v>0.87</v>
      </c>
      <c r="I60" t="n">
        <v>68.63256113256114</v>
      </c>
      <c r="J60" t="n">
        <v>2.389372105136405</v>
      </c>
      <c r="K60" t="n">
        <v>42.35</v>
      </c>
      <c r="L60" t="n">
        <v>50</v>
      </c>
      <c r="M60" t="n">
        <v>-0.482</v>
      </c>
      <c r="N60" t="n">
        <v>50</v>
      </c>
      <c r="O60" t="n">
        <v>20.51</v>
      </c>
      <c r="P60" t="n">
        <v>1.56</v>
      </c>
      <c r="Q60" t="n">
        <v>152.67</v>
      </c>
      <c r="R60" t="n">
        <v>79.17400000000001</v>
      </c>
      <c r="S60" t="n">
        <v>3.5</v>
      </c>
      <c r="T60" t="n">
        <v>4266.2</v>
      </c>
      <c r="U60" t="n">
        <v>-0.01</v>
      </c>
      <c r="V60" t="n">
        <v>0.03</v>
      </c>
    </row>
    <row r="61">
      <c r="A61" t="inlineStr">
        <is>
          <t>2026-08-07 11:48:34</t>
        </is>
      </c>
      <c r="B61" t="n">
        <v>870.5</v>
      </c>
      <c r="C61" t="n">
        <v>4.88</v>
      </c>
      <c r="D61" t="n">
        <v>120.2930512227635</v>
      </c>
      <c r="E61" t="n">
        <v>2.5</v>
      </c>
      <c r="F61" t="n">
        <v>2.41</v>
      </c>
      <c r="G61" t="n">
        <v>99.9652</v>
      </c>
      <c r="H61" t="n">
        <v>1.33</v>
      </c>
      <c r="I61" t="n">
        <v>68.42611628654032</v>
      </c>
      <c r="J61" t="n">
        <v>2.386017283770842</v>
      </c>
      <c r="K61" t="n">
        <v>44.33</v>
      </c>
      <c r="L61" t="n">
        <v>50</v>
      </c>
      <c r="M61" t="n">
        <v>-0.462</v>
      </c>
      <c r="N61" t="n">
        <v>50</v>
      </c>
      <c r="O61" t="n">
        <v>20.23</v>
      </c>
      <c r="P61" t="n">
        <v>1.5</v>
      </c>
      <c r="Q61" t="n">
        <v>152.67</v>
      </c>
      <c r="R61" t="n">
        <v>83.402</v>
      </c>
      <c r="S61" t="n">
        <v>3.5</v>
      </c>
      <c r="T61" t="n">
        <v>4260.21</v>
      </c>
      <c r="U61" t="n">
        <v>-0.01</v>
      </c>
      <c r="V61" t="n">
        <v>0.02</v>
      </c>
    </row>
    <row r="62">
      <c r="A62" t="inlineStr">
        <is>
          <t>2026-08-08 10:53:15</t>
        </is>
      </c>
      <c r="B62" t="n">
        <v>870.5</v>
      </c>
      <c r="C62" t="n">
        <v>4.88</v>
      </c>
      <c r="D62" t="n">
        <v>120.2930512227635</v>
      </c>
      <c r="E62" t="n">
        <v>2.5</v>
      </c>
      <c r="F62" t="n">
        <v>2.43</v>
      </c>
      <c r="G62" t="n">
        <v>99.5996</v>
      </c>
      <c r="H62" t="n">
        <v>1.47</v>
      </c>
      <c r="I62" t="n">
        <v>68.34256926952141</v>
      </c>
      <c r="J62" t="n">
        <v>2.431332575371467</v>
      </c>
      <c r="K62" t="n">
        <v>45.9</v>
      </c>
      <c r="L62" t="n">
        <v>50</v>
      </c>
      <c r="M62" t="n">
        <v>-0.38</v>
      </c>
      <c r="N62" t="n">
        <v>50</v>
      </c>
      <c r="O62" t="n">
        <v>20.32</v>
      </c>
      <c r="P62" t="n">
        <v>1.54</v>
      </c>
      <c r="Q62" t="n">
        <v>152.67</v>
      </c>
      <c r="R62" t="n">
        <v>82.301</v>
      </c>
      <c r="S62" t="n">
        <v>3.5</v>
      </c>
      <c r="T62" t="n">
        <v>4341.12</v>
      </c>
      <c r="U62" t="n">
        <v>-0.01</v>
      </c>
      <c r="V62" t="n">
        <v>-0.34</v>
      </c>
    </row>
    <row r="63">
      <c r="A63" t="inlineStr">
        <is>
          <t>2026-08-09 11:01:05</t>
        </is>
      </c>
      <c r="B63" t="n">
        <v>870.5</v>
      </c>
      <c r="C63" t="n">
        <v>4.88</v>
      </c>
      <c r="D63" t="n">
        <v>120.2930512227635</v>
      </c>
      <c r="E63" t="n">
        <v>2.5</v>
      </c>
      <c r="F63" t="n">
        <v>2.43</v>
      </c>
      <c r="G63" t="n">
        <v>99.5996</v>
      </c>
      <c r="H63" t="n">
        <v>1.47</v>
      </c>
      <c r="I63" t="n">
        <v>68.34256926952141</v>
      </c>
      <c r="J63" t="n">
        <v>2.431332575371467</v>
      </c>
      <c r="K63" t="n">
        <v>45.9</v>
      </c>
      <c r="L63" t="n">
        <v>50</v>
      </c>
      <c r="M63" t="n">
        <v>-0.38</v>
      </c>
      <c r="N63" t="n">
        <v>50</v>
      </c>
      <c r="O63" t="n">
        <v>20.32</v>
      </c>
      <c r="P63" t="n">
        <v>1.54</v>
      </c>
      <c r="Q63" t="n">
        <v>152.67</v>
      </c>
      <c r="R63" t="n">
        <v>82.301</v>
      </c>
      <c r="S63" t="n">
        <v>3.5</v>
      </c>
      <c r="T63" t="n">
        <v>4341.12</v>
      </c>
      <c r="U63" t="n">
        <v>-0.01</v>
      </c>
      <c r="V63" t="n">
        <v>-0.34</v>
      </c>
    </row>
    <row r="64">
      <c r="A64" t="inlineStr">
        <is>
          <t>2026-08-10 11:10:16</t>
        </is>
      </c>
      <c r="B64" t="n">
        <v>870.5</v>
      </c>
      <c r="C64" t="n">
        <v>4.88</v>
      </c>
      <c r="D64" t="n">
        <v>120.2930512227635</v>
      </c>
      <c r="E64" t="n">
        <v>2.5</v>
      </c>
      <c r="F64" t="n">
        <v>2.43</v>
      </c>
      <c r="G64" t="n">
        <v>99.7163</v>
      </c>
      <c r="H64" t="n">
        <v>1.47</v>
      </c>
      <c r="I64" t="n">
        <v>68.2465623518255</v>
      </c>
      <c r="J64" t="n">
        <v>2.418361346185081</v>
      </c>
      <c r="K64" t="n">
        <v>45.9</v>
      </c>
      <c r="L64" t="n">
        <v>50</v>
      </c>
      <c r="M64" t="n">
        <v>-0.38</v>
      </c>
      <c r="N64" t="n">
        <v>50</v>
      </c>
      <c r="O64" t="n">
        <v>20.32</v>
      </c>
      <c r="P64" t="n">
        <v>1.54</v>
      </c>
      <c r="Q64" t="n">
        <v>152.67</v>
      </c>
      <c r="R64" t="n">
        <v>84.142</v>
      </c>
      <c r="S64" t="n">
        <v>3.5</v>
      </c>
      <c r="T64" t="n">
        <v>4317.96</v>
      </c>
      <c r="U64" t="n">
        <v>-0.01</v>
      </c>
      <c r="V64" t="n">
        <v>0.12</v>
      </c>
    </row>
    <row r="65">
      <c r="A65" t="inlineStr">
        <is>
          <t>2026-08-11 11:03:07</t>
        </is>
      </c>
      <c r="B65" t="n">
        <v>870.5</v>
      </c>
      <c r="C65" t="n">
        <v>4.88</v>
      </c>
      <c r="D65" t="n">
        <v>120.2930512227635</v>
      </c>
      <c r="E65" t="n">
        <v>2.5</v>
      </c>
      <c r="F65" t="n">
        <v>2.4</v>
      </c>
      <c r="G65" t="n">
        <v>99.81950000000001</v>
      </c>
      <c r="H65" t="n">
        <v>1.84</v>
      </c>
      <c r="I65" t="n">
        <v>67.05423883318142</v>
      </c>
      <c r="J65" t="n">
        <v>2.471876067634095</v>
      </c>
      <c r="K65" t="n">
        <v>51.41</v>
      </c>
      <c r="L65" t="n">
        <v>50</v>
      </c>
      <c r="M65" t="n">
        <v>-0.206</v>
      </c>
      <c r="N65" t="n">
        <v>50</v>
      </c>
      <c r="O65" t="n">
        <v>20.21</v>
      </c>
      <c r="P65" t="n">
        <v>1.47</v>
      </c>
      <c r="Q65" t="n">
        <v>152.67</v>
      </c>
      <c r="R65" t="n">
        <v>87.937</v>
      </c>
      <c r="S65" t="n">
        <v>3.5</v>
      </c>
      <c r="T65" t="n">
        <v>4413.51</v>
      </c>
      <c r="U65" t="n">
        <v>-0.01</v>
      </c>
      <c r="V65" t="n">
        <v>0.01</v>
      </c>
    </row>
    <row r="66">
      <c r="A66" t="inlineStr">
        <is>
          <t>2026-08-12 11:21:58</t>
        </is>
      </c>
      <c r="B66" t="n">
        <v>870.5</v>
      </c>
      <c r="C66" t="n">
        <v>4.88</v>
      </c>
      <c r="D66" t="n">
        <v>120.2930512227635</v>
      </c>
      <c r="E66" t="n">
        <v>2.5</v>
      </c>
      <c r="F66" t="n">
        <v>2.43</v>
      </c>
      <c r="G66" t="n">
        <v>99.86199999999999</v>
      </c>
      <c r="H66" t="n">
        <v>1.69</v>
      </c>
      <c r="I66" t="n">
        <v>67.28370743624981</v>
      </c>
      <c r="J66" t="n">
        <v>2.467899568185764</v>
      </c>
      <c r="K66" t="n">
        <v>69.04000000000001</v>
      </c>
      <c r="L66" t="n">
        <v>50</v>
      </c>
      <c r="M66" t="n">
        <v>-0.102</v>
      </c>
      <c r="N66" t="n">
        <v>50</v>
      </c>
      <c r="O66" t="n">
        <v>20.049999</v>
      </c>
      <c r="P66" t="n">
        <v>1.49</v>
      </c>
      <c r="Q66" t="n">
        <v>152.67</v>
      </c>
      <c r="R66" t="n">
        <v>89.73999999999999</v>
      </c>
      <c r="S66" t="n">
        <v>3.5</v>
      </c>
      <c r="T66" t="n">
        <v>4406.41</v>
      </c>
      <c r="U66" t="n">
        <v>-0.01</v>
      </c>
      <c r="V66" t="n">
        <v>0.05</v>
      </c>
    </row>
    <row r="67">
      <c r="A67" t="inlineStr">
        <is>
          <t>2026-08-14 11:23:00</t>
        </is>
      </c>
      <c r="B67" t="n">
        <v>870.5</v>
      </c>
      <c r="C67" t="n">
        <v>4.88</v>
      </c>
      <c r="D67" t="n">
        <v>120.2930512227635</v>
      </c>
      <c r="E67" t="n">
        <v>2.5</v>
      </c>
      <c r="F67" t="n">
        <v>2.42</v>
      </c>
      <c r="G67" t="n">
        <v>99.87130000000001</v>
      </c>
      <c r="H67" t="n">
        <v>1.87</v>
      </c>
      <c r="I67" t="n">
        <v>67.53091817613991</v>
      </c>
      <c r="J67" t="n">
        <v>2.422125018902374</v>
      </c>
      <c r="K67" t="n">
        <v>51.91</v>
      </c>
      <c r="L67" t="n">
        <v>50</v>
      </c>
      <c r="M67" t="n">
        <v>0.156</v>
      </c>
      <c r="N67" t="n">
        <v>50</v>
      </c>
      <c r="O67" t="n">
        <v>19.62</v>
      </c>
      <c r="P67" t="n">
        <v>1.56</v>
      </c>
      <c r="Q67" t="n">
        <v>152.67</v>
      </c>
      <c r="R67" t="n">
        <v>87.053</v>
      </c>
      <c r="S67" t="n">
        <v>3.4</v>
      </c>
      <c r="T67" t="n">
        <v>4324.68</v>
      </c>
      <c r="U67" t="n">
        <v>-0.01</v>
      </c>
      <c r="V67" t="n">
        <v>-0.09</v>
      </c>
    </row>
    <row r="68">
      <c r="A68" t="inlineStr">
        <is>
          <t>2026-08-15 10:12:43</t>
        </is>
      </c>
      <c r="B68" t="n">
        <v>870.5</v>
      </c>
      <c r="C68" t="n">
        <v>4.88</v>
      </c>
      <c r="D68" t="n">
        <v>120.2930512227635</v>
      </c>
      <c r="E68" t="n">
        <v>2.5</v>
      </c>
      <c r="F68" t="n">
        <v>2.39</v>
      </c>
      <c r="G68" t="n">
        <v>99.6391</v>
      </c>
      <c r="H68" t="n">
        <v>2.16</v>
      </c>
      <c r="I68" t="n">
        <v>67.66352249884027</v>
      </c>
      <c r="J68" t="n">
        <v>2.450755814930355</v>
      </c>
      <c r="K68" t="n">
        <v>48.15</v>
      </c>
      <c r="L68" t="n">
        <v>50</v>
      </c>
      <c r="M68" t="n">
        <v>0.062</v>
      </c>
      <c r="N68" t="n">
        <v>50</v>
      </c>
      <c r="O68" t="n">
        <v>19.355</v>
      </c>
      <c r="P68" t="n">
        <v>1.51</v>
      </c>
      <c r="Q68" t="n">
        <v>152.67</v>
      </c>
      <c r="R68" t="n">
        <v>88.833</v>
      </c>
      <c r="S68" t="n">
        <v>3.4</v>
      </c>
      <c r="T68" t="n">
        <v>4375.8</v>
      </c>
      <c r="U68" t="n">
        <v>-0.01</v>
      </c>
      <c r="V68" t="n">
        <v>-0.32</v>
      </c>
    </row>
    <row r="69">
      <c r="A69" t="inlineStr">
        <is>
          <t>2026-08-16 10:20:05</t>
        </is>
      </c>
      <c r="B69" t="n">
        <v>870.5</v>
      </c>
      <c r="C69" t="n">
        <v>4.88</v>
      </c>
      <c r="D69" t="n">
        <v>120.2930512227635</v>
      </c>
      <c r="E69" t="n">
        <v>2.5</v>
      </c>
      <c r="F69" t="n">
        <v>2.39</v>
      </c>
      <c r="G69" t="n">
        <v>99.6391</v>
      </c>
      <c r="H69" t="n">
        <v>2.16</v>
      </c>
      <c r="I69" t="n">
        <v>67.66352249884027</v>
      </c>
      <c r="J69" t="n">
        <v>2.450755814930355</v>
      </c>
      <c r="K69" t="n">
        <v>48.15</v>
      </c>
      <c r="L69" t="n">
        <v>50</v>
      </c>
      <c r="M69" t="n">
        <v>0.062</v>
      </c>
      <c r="N69" t="n">
        <v>50</v>
      </c>
      <c r="O69" t="n">
        <v>19.355</v>
      </c>
      <c r="P69" t="n">
        <v>1.51</v>
      </c>
      <c r="Q69" t="n">
        <v>152.67</v>
      </c>
      <c r="R69" t="n">
        <v>88.833</v>
      </c>
      <c r="S69" t="n">
        <v>3.4</v>
      </c>
      <c r="T69" t="n">
        <v>4375.8</v>
      </c>
      <c r="U69" t="n">
        <v>-0.01</v>
      </c>
      <c r="V69" t="n">
        <v>-0.32</v>
      </c>
    </row>
    <row r="70">
      <c r="A70" t="inlineStr">
        <is>
          <t>2026-08-17 10:18:49</t>
        </is>
      </c>
      <c r="B70" t="n">
        <v>870.5</v>
      </c>
      <c r="C70" t="n">
        <v>4.88</v>
      </c>
      <c r="D70" t="n">
        <v>120.2930512227635</v>
      </c>
      <c r="E70" t="n">
        <v>2.5</v>
      </c>
      <c r="F70" t="n">
        <v>2.39</v>
      </c>
      <c r="G70" t="n">
        <v>99.5038</v>
      </c>
      <c r="H70" t="n">
        <v>2.16</v>
      </c>
      <c r="I70" t="n">
        <v>66.87304003653524</v>
      </c>
      <c r="J70" t="n">
        <v>2.460327417123591</v>
      </c>
      <c r="K70" t="n">
        <v>48.15</v>
      </c>
      <c r="L70" t="n">
        <v>50</v>
      </c>
      <c r="M70" t="n">
        <v>0.062</v>
      </c>
      <c r="N70" t="n">
        <v>50</v>
      </c>
      <c r="O70" t="n">
        <v>19.355</v>
      </c>
      <c r="P70" t="n">
        <v>1.51</v>
      </c>
      <c r="Q70" t="n">
        <v>152.67</v>
      </c>
      <c r="R70" t="n">
        <v>89.236</v>
      </c>
      <c r="S70" t="n">
        <v>3.4</v>
      </c>
      <c r="T70" t="n">
        <v>4392.89</v>
      </c>
      <c r="U70" t="n">
        <v>-0.01</v>
      </c>
      <c r="V70" t="n">
        <v>-0.14</v>
      </c>
    </row>
    <row r="71">
      <c r="A71" t="inlineStr">
        <is>
          <t>2026-08-18 10:14:32</t>
        </is>
      </c>
      <c r="B71" t="n">
        <v>870.5</v>
      </c>
      <c r="C71" t="n">
        <v>4.88</v>
      </c>
      <c r="D71" t="n">
        <v>120.2930512227635</v>
      </c>
      <c r="E71" t="n">
        <v>2.5</v>
      </c>
      <c r="F71" t="n">
        <v>2.41</v>
      </c>
      <c r="G71" t="n">
        <v>99.5997</v>
      </c>
      <c r="H71" t="n">
        <v>3.17</v>
      </c>
      <c r="I71" t="n">
        <v>67.27021244077639</v>
      </c>
      <c r="J71" t="n">
        <v>2.465144022089174</v>
      </c>
      <c r="K71" t="n">
        <v>49.14</v>
      </c>
      <c r="L71" t="n">
        <v>0</v>
      </c>
      <c r="M71" t="n">
        <v>-0.074</v>
      </c>
      <c r="N71" t="n">
        <v>50</v>
      </c>
      <c r="O71" t="n">
        <v>19.5</v>
      </c>
      <c r="P71" t="n">
        <v>1.47</v>
      </c>
      <c r="Q71" t="n">
        <v>152.67</v>
      </c>
      <c r="R71" t="n">
        <v>91.244</v>
      </c>
      <c r="S71" t="n">
        <v>3.4</v>
      </c>
      <c r="T71" t="n">
        <v>4401.49</v>
      </c>
      <c r="U71" t="n">
        <v>-0.01</v>
      </c>
      <c r="V71" t="n">
        <v>0.02</v>
      </c>
    </row>
    <row r="72">
      <c r="A72" t="inlineStr">
        <is>
          <t>2026-08-19 10:17:00</t>
        </is>
      </c>
      <c r="B72" t="n">
        <v>870.5</v>
      </c>
      <c r="C72" t="n">
        <v>4.88</v>
      </c>
      <c r="D72" t="n">
        <v>120.2930512227635</v>
      </c>
      <c r="E72" t="n">
        <v>2.5</v>
      </c>
      <c r="F72" t="n">
        <v>2.44</v>
      </c>
      <c r="G72" t="n">
        <v>99.5681</v>
      </c>
      <c r="H72" t="n">
        <v>2.16</v>
      </c>
      <c r="I72" t="n">
        <v>68.98305889803675</v>
      </c>
      <c r="J72" t="n">
        <v>2.440209690337106</v>
      </c>
      <c r="K72" t="n">
        <v>51.93</v>
      </c>
      <c r="L72" t="n">
        <v>0</v>
      </c>
      <c r="M72" t="n">
        <v>-0.122</v>
      </c>
      <c r="N72" t="n">
        <v>50</v>
      </c>
      <c r="O72" t="n">
        <v>19.65</v>
      </c>
      <c r="P72" t="n">
        <v>1.48</v>
      </c>
      <c r="Q72" t="n">
        <v>152.67</v>
      </c>
      <c r="R72" t="n">
        <v>91.94</v>
      </c>
      <c r="S72" t="n">
        <v>3.4</v>
      </c>
      <c r="T72" t="n">
        <v>4356.97</v>
      </c>
      <c r="U72" t="n">
        <v>-0.01</v>
      </c>
      <c r="V72" t="n">
        <v>-0.08</v>
      </c>
    </row>
    <row r="73">
      <c r="A73" t="inlineStr">
        <is>
          <t>2026-08-20 10:16:07</t>
        </is>
      </c>
      <c r="B73" t="n">
        <v>870.5</v>
      </c>
      <c r="C73" t="n">
        <v>4.88</v>
      </c>
      <c r="D73" t="n">
        <v>120.2930512227635</v>
      </c>
      <c r="E73" t="n">
        <v>2.5</v>
      </c>
      <c r="F73" t="n">
        <v>2.41</v>
      </c>
      <c r="G73" t="n">
        <v>98.8407</v>
      </c>
      <c r="H73" t="n">
        <v>2.86</v>
      </c>
      <c r="I73" t="n">
        <v>66.87356834746393</v>
      </c>
      <c r="J73" t="n">
        <v>2.518025864048524</v>
      </c>
      <c r="K73" t="n">
        <v>47.66</v>
      </c>
      <c r="L73" t="n">
        <v>0</v>
      </c>
      <c r="M73" t="n">
        <v>-0.16</v>
      </c>
      <c r="N73" t="n">
        <v>50</v>
      </c>
      <c r="O73" t="n">
        <v>19.049999</v>
      </c>
      <c r="P73" t="n">
        <v>1.54</v>
      </c>
      <c r="Q73" t="n">
        <v>152.67</v>
      </c>
      <c r="R73" t="n">
        <v>92.069</v>
      </c>
      <c r="S73" t="n">
        <v>3.4</v>
      </c>
      <c r="T73" t="n">
        <v>4495.91</v>
      </c>
      <c r="U73" t="n">
        <v>-0.01</v>
      </c>
      <c r="V73" t="n">
        <v>0.05</v>
      </c>
    </row>
    <row r="74">
      <c r="A74" t="inlineStr">
        <is>
          <t>2026-08-21 10:22:05</t>
        </is>
      </c>
      <c r="B74" t="n">
        <v>870.5</v>
      </c>
      <c r="C74" t="n">
        <v>4.88</v>
      </c>
      <c r="D74" t="n">
        <v>120.2930512227635</v>
      </c>
      <c r="E74" t="n">
        <v>2.5</v>
      </c>
      <c r="F74" t="n">
        <v>2.35</v>
      </c>
      <c r="G74" t="n">
        <v>98.76609999999999</v>
      </c>
      <c r="H74" t="n">
        <v>3.08</v>
      </c>
      <c r="I74" t="n">
        <v>66.09338009644893</v>
      </c>
      <c r="J74" t="n">
        <v>2.533069353510801</v>
      </c>
      <c r="K74" t="n">
        <v>56.61</v>
      </c>
      <c r="L74" t="n">
        <v>0</v>
      </c>
      <c r="M74" t="n">
        <v>-0.08</v>
      </c>
      <c r="N74" t="n">
        <v>50</v>
      </c>
      <c r="O74" t="n">
        <v>19.19</v>
      </c>
      <c r="P74" t="n">
        <v>1.5</v>
      </c>
      <c r="Q74" t="n">
        <v>152.67</v>
      </c>
      <c r="R74" t="n">
        <v>93.798</v>
      </c>
      <c r="S74" t="n">
        <v>3.4</v>
      </c>
      <c r="T74" t="n">
        <v>4522.77</v>
      </c>
      <c r="U74" t="n">
        <v>-0.01</v>
      </c>
      <c r="V74" t="n">
        <v>-0.1</v>
      </c>
    </row>
    <row r="75">
      <c r="A75" t="inlineStr">
        <is>
          <t>2026-08-22 10:14:31</t>
        </is>
      </c>
      <c r="B75" t="n">
        <v>870.5</v>
      </c>
      <c r="C75" t="n">
        <v>4.88</v>
      </c>
      <c r="D75" t="n">
        <v>120.2930512227635</v>
      </c>
      <c r="E75" t="n">
        <v>2.5</v>
      </c>
      <c r="F75" t="n">
        <v>2.35</v>
      </c>
      <c r="G75" t="n">
        <v>98.84610000000001</v>
      </c>
      <c r="H75" t="n">
        <v>3.76</v>
      </c>
      <c r="I75" t="n">
        <v>66.76134551254168</v>
      </c>
      <c r="J75" t="n">
        <v>2.578860704904536</v>
      </c>
      <c r="K75" t="n">
        <v>62.35</v>
      </c>
      <c r="L75" t="n">
        <v>0</v>
      </c>
      <c r="M75" t="n">
        <v>0.118</v>
      </c>
      <c r="N75" t="n">
        <v>50</v>
      </c>
      <c r="O75" t="n">
        <v>18.95</v>
      </c>
      <c r="P75" t="n">
        <v>1.45</v>
      </c>
      <c r="Q75" t="n">
        <v>152.67</v>
      </c>
      <c r="R75" t="n">
        <v>92.304</v>
      </c>
      <c r="S75" t="n">
        <v>3.4</v>
      </c>
      <c r="T75" t="n">
        <v>4604.53</v>
      </c>
      <c r="U75" t="n">
        <v>-0.01</v>
      </c>
      <c r="V75" t="n">
        <v>-0.02</v>
      </c>
    </row>
    <row r="76">
      <c r="A76" t="inlineStr">
        <is>
          <t>2026-08-23 10:22:52</t>
        </is>
      </c>
      <c r="B76" t="n">
        <v>870.5</v>
      </c>
      <c r="C76" t="n">
        <v>4.88</v>
      </c>
      <c r="D76" t="n">
        <v>120.2930512227635</v>
      </c>
      <c r="E76" t="n">
        <v>2.5</v>
      </c>
      <c r="F76" t="n">
        <v>2.35</v>
      </c>
      <c r="G76" t="n">
        <v>98.84610000000001</v>
      </c>
      <c r="H76" t="n">
        <v>3.76</v>
      </c>
      <c r="I76" t="n">
        <v>66.76134551254168</v>
      </c>
      <c r="J76" t="n">
        <v>2.578860704904536</v>
      </c>
      <c r="K76" t="n">
        <v>62.35</v>
      </c>
      <c r="L76" t="n">
        <v>0</v>
      </c>
      <c r="M76" t="n">
        <v>0.118</v>
      </c>
      <c r="N76" t="n">
        <v>50</v>
      </c>
      <c r="O76" t="n">
        <v>18.95</v>
      </c>
      <c r="P76" t="n">
        <v>1.45</v>
      </c>
      <c r="Q76" t="n">
        <v>152.67</v>
      </c>
      <c r="R76" t="n">
        <v>92.304</v>
      </c>
      <c r="S76" t="n">
        <v>3.4</v>
      </c>
      <c r="T76" t="n">
        <v>4604.53</v>
      </c>
      <c r="U76" t="n">
        <v>-0.01</v>
      </c>
      <c r="V76" t="n">
        <v>-0.02</v>
      </c>
    </row>
    <row r="77">
      <c r="A77" t="inlineStr">
        <is>
          <t>2026-08-24 10:21:21</t>
        </is>
      </c>
      <c r="B77" t="n">
        <v>870.5</v>
      </c>
      <c r="C77" t="n">
        <v>4.88</v>
      </c>
      <c r="D77" t="n">
        <v>120.2930512227635</v>
      </c>
      <c r="E77" t="n">
        <v>2.5</v>
      </c>
      <c r="F77" t="n">
        <v>2.35</v>
      </c>
      <c r="G77" t="n">
        <v>98.80159999999999</v>
      </c>
      <c r="H77" t="n">
        <v>3.76</v>
      </c>
      <c r="I77" t="n">
        <v>67.17270758122744</v>
      </c>
      <c r="J77" t="n">
        <v>2.605284823773866</v>
      </c>
      <c r="K77" t="n">
        <v>62.35</v>
      </c>
      <c r="L77" t="n">
        <v>0</v>
      </c>
      <c r="M77" t="n">
        <v>0.118</v>
      </c>
      <c r="N77" t="n">
        <v>50</v>
      </c>
      <c r="O77" t="n">
        <v>18.95</v>
      </c>
      <c r="P77" t="n">
        <v>1.45</v>
      </c>
      <c r="Q77" t="n">
        <v>152.67</v>
      </c>
      <c r="R77" t="n">
        <v>90.896</v>
      </c>
      <c r="S77" t="n">
        <v>3.4</v>
      </c>
      <c r="T77" t="n">
        <v>4651.71</v>
      </c>
      <c r="U77" t="n">
        <v>-0.01</v>
      </c>
      <c r="V77" t="n">
        <v>-0.05</v>
      </c>
    </row>
    <row r="78">
      <c r="A78" t="inlineStr">
        <is>
          <t>2026-08-25 10:16:52</t>
        </is>
      </c>
      <c r="B78" t="n">
        <v>870.5</v>
      </c>
      <c r="C78" t="n">
        <v>4.88</v>
      </c>
      <c r="D78" t="n">
        <v>120.2930512227635</v>
      </c>
      <c r="E78" t="n">
        <v>2.5</v>
      </c>
      <c r="F78" t="n">
        <v>2.4</v>
      </c>
      <c r="G78" t="n">
        <v>99.01690000000001</v>
      </c>
      <c r="H78" t="n">
        <v>4.04</v>
      </c>
      <c r="I78" t="n">
        <v>68.15304475421863</v>
      </c>
      <c r="J78" t="n">
        <v>2.601319525732432</v>
      </c>
      <c r="K78" t="n">
        <v>61.56</v>
      </c>
      <c r="L78" t="n">
        <v>0</v>
      </c>
      <c r="M78" t="n">
        <v>0.306</v>
      </c>
      <c r="N78" t="n">
        <v>50</v>
      </c>
      <c r="O78" t="n">
        <v>18.96</v>
      </c>
      <c r="P78" t="n">
        <v>1.49</v>
      </c>
      <c r="Q78" t="n">
        <v>152.67</v>
      </c>
      <c r="R78" t="n">
        <v>91.155</v>
      </c>
      <c r="S78" t="n">
        <v>3.4</v>
      </c>
      <c r="T78" t="n">
        <v>4644.63</v>
      </c>
      <c r="U78" t="n">
        <v>-0.01</v>
      </c>
      <c r="V78" t="n">
        <v>0.03</v>
      </c>
    </row>
    <row r="79">
      <c r="A79" t="inlineStr">
        <is>
          <t>2026-08-26 10:23:27</t>
        </is>
      </c>
      <c r="B79" t="n">
        <v>870.5</v>
      </c>
      <c r="C79" t="n">
        <v>4.88</v>
      </c>
      <c r="D79" t="n">
        <v>120.2930512227635</v>
      </c>
      <c r="E79" t="n">
        <v>2.5</v>
      </c>
      <c r="F79" t="n">
        <v>2.38</v>
      </c>
      <c r="G79" t="n">
        <v>98.9152</v>
      </c>
      <c r="H79" t="n">
        <v>3.87</v>
      </c>
      <c r="I79" t="n">
        <v>67.12791702679344</v>
      </c>
      <c r="J79" t="n">
        <v>2.609939008339448</v>
      </c>
      <c r="K79" t="n">
        <v>64.41</v>
      </c>
      <c r="L79" t="n">
        <v>0</v>
      </c>
      <c r="M79" t="n">
        <v>0.484</v>
      </c>
      <c r="N79" t="n">
        <v>0</v>
      </c>
      <c r="O79" t="n">
        <v>18.01</v>
      </c>
      <c r="P79" t="n">
        <v>1.55</v>
      </c>
      <c r="Q79" t="n">
        <v>152.67</v>
      </c>
      <c r="R79" t="n">
        <v>85.288</v>
      </c>
      <c r="S79" t="n">
        <v>3.4</v>
      </c>
      <c r="T79" t="n">
        <v>4660.02</v>
      </c>
      <c r="U79" t="n">
        <v>-0.01</v>
      </c>
      <c r="V79" t="n">
        <v>0.01</v>
      </c>
    </row>
    <row r="80">
      <c r="A80" t="inlineStr">
        <is>
          <t>2026-08-27 18:54:03</t>
        </is>
      </c>
      <c r="B80" t="n">
        <v>870.5</v>
      </c>
      <c r="C80" t="n">
        <v>4.88</v>
      </c>
      <c r="D80" t="n">
        <v>120.2528524075522</v>
      </c>
      <c r="E80" t="n">
        <v>2.5</v>
      </c>
      <c r="F80" t="n">
        <v>2.32</v>
      </c>
      <c r="G80" t="n">
        <v>99.24299999999999</v>
      </c>
      <c r="H80" t="n">
        <v>3.73</v>
      </c>
      <c r="I80" t="n">
        <v>67.14749780509217</v>
      </c>
      <c r="J80" t="n">
        <v>2.570084402600966</v>
      </c>
      <c r="K80" t="n">
        <v>56.96</v>
      </c>
      <c r="L80" t="n">
        <v>50</v>
      </c>
      <c r="M80" t="n">
        <v>0.606</v>
      </c>
      <c r="N80" t="n">
        <v>50</v>
      </c>
      <c r="O80" t="n">
        <v>18.54</v>
      </c>
      <c r="Q80" t="n">
        <v>152.67</v>
      </c>
      <c r="R80" t="n">
        <v>87.37</v>
      </c>
      <c r="S80" t="n">
        <v>3.4</v>
      </c>
      <c r="T80" t="n">
        <v>4588.86</v>
      </c>
      <c r="U80" t="n">
        <v>-0.01</v>
      </c>
      <c r="V80" t="n">
        <v>0.1</v>
      </c>
    </row>
    <row r="81">
      <c r="A81" t="inlineStr">
        <is>
          <t>2026-08-28 20:29:44</t>
        </is>
      </c>
      <c r="B81" t="n">
        <v>870.5</v>
      </c>
      <c r="C81" t="n">
        <v>4.88</v>
      </c>
      <c r="D81" t="n">
        <v>120.2528524075522</v>
      </c>
      <c r="E81" t="n">
        <v>2.5</v>
      </c>
      <c r="F81" t="n">
        <v>2.34</v>
      </c>
      <c r="G81" t="n">
        <v>99.2115</v>
      </c>
      <c r="H81" t="n">
        <v>3.93</v>
      </c>
      <c r="I81" t="n">
        <v>65.22100935639352</v>
      </c>
      <c r="J81" t="n">
        <v>2.576710034780368</v>
      </c>
      <c r="K81" t="n">
        <v>56.96</v>
      </c>
      <c r="L81" t="n">
        <v>50</v>
      </c>
      <c r="M81" t="n">
        <v>0.59</v>
      </c>
      <c r="N81" t="n">
        <v>50</v>
      </c>
      <c r="O81" t="n">
        <v>18.1</v>
      </c>
      <c r="Q81" t="n">
        <v>152.67</v>
      </c>
      <c r="R81" t="n">
        <v>87.78700000000001</v>
      </c>
      <c r="S81" t="n">
        <v>3.4</v>
      </c>
      <c r="T81" t="n">
        <v>4600.69</v>
      </c>
      <c r="U81" t="n">
        <v>-0.01</v>
      </c>
      <c r="V81" t="n">
        <v>0.08</v>
      </c>
    </row>
    <row r="82">
      <c r="A82" t="inlineStr">
        <is>
          <t>2026-08-29 15:39:07</t>
        </is>
      </c>
      <c r="B82" t="n">
        <v>870.5</v>
      </c>
      <c r="C82" t="n">
        <v>4.88</v>
      </c>
      <c r="D82" t="n">
        <v>120.2528524075522</v>
      </c>
      <c r="E82" t="n">
        <v>2.5</v>
      </c>
      <c r="F82" t="n">
        <v>2.34</v>
      </c>
      <c r="G82" t="n">
        <v>99.6831</v>
      </c>
      <c r="H82" t="n">
        <v>3.63</v>
      </c>
      <c r="I82" t="n">
        <v>67.18295625942685</v>
      </c>
      <c r="J82" t="n">
        <v>2.494682132075789</v>
      </c>
      <c r="K82" t="n">
        <v>54.01</v>
      </c>
      <c r="L82" t="n">
        <v>50</v>
      </c>
      <c r="M82" t="n">
        <v>0.594</v>
      </c>
      <c r="N82" t="n">
        <v>50</v>
      </c>
      <c r="O82" t="n">
        <v>18.36</v>
      </c>
      <c r="P82" t="n">
        <v>1.46</v>
      </c>
      <c r="Q82" t="n">
        <v>152.67</v>
      </c>
      <c r="R82" t="n">
        <v>88.331</v>
      </c>
      <c r="S82" t="n">
        <v>3.4</v>
      </c>
      <c r="T82" t="n">
        <v>4454.23</v>
      </c>
      <c r="U82" t="n">
        <v>-0.02</v>
      </c>
      <c r="V82" t="n">
        <v>0.55</v>
      </c>
    </row>
    <row r="83">
      <c r="A83" t="inlineStr">
        <is>
          <t>2026-08-30 14:13:52</t>
        </is>
      </c>
      <c r="B83" t="n">
        <v>870.5</v>
      </c>
      <c r="C83" t="n">
        <v>4.88</v>
      </c>
      <c r="D83" t="n">
        <v>120.2528524075522</v>
      </c>
      <c r="E83" t="n">
        <v>2.5</v>
      </c>
      <c r="F83" t="n">
        <v>2.34</v>
      </c>
      <c r="G83" t="n">
        <v>99.6831</v>
      </c>
      <c r="H83" t="n">
        <v>3.63</v>
      </c>
      <c r="I83" t="n">
        <v>67.18295625942685</v>
      </c>
      <c r="J83" t="n">
        <v>2.494682132075789</v>
      </c>
      <c r="K83" t="n">
        <v>54.01</v>
      </c>
      <c r="L83" t="n">
        <v>50</v>
      </c>
      <c r="M83" t="n">
        <v>0.594</v>
      </c>
      <c r="N83" t="n">
        <v>50</v>
      </c>
      <c r="O83" t="n">
        <v>18.36</v>
      </c>
      <c r="P83" t="n">
        <v>1.46</v>
      </c>
      <c r="Q83" t="n">
        <v>152.67</v>
      </c>
      <c r="R83" t="n">
        <v>88.331</v>
      </c>
      <c r="S83" t="n">
        <v>3.4</v>
      </c>
      <c r="T83" t="n">
        <v>4454.23</v>
      </c>
      <c r="U83" t="n">
        <v>-0.02</v>
      </c>
      <c r="V83" t="n">
        <v>0.55</v>
      </c>
    </row>
    <row r="84">
      <c r="A84" t="inlineStr">
        <is>
          <t>2026-08-31 14:39:44</t>
        </is>
      </c>
      <c r="B84" t="n">
        <v>870.5</v>
      </c>
      <c r="C84" t="n">
        <v>4.88</v>
      </c>
      <c r="D84" t="n">
        <v>120.2528524075522</v>
      </c>
      <c r="E84" t="n">
        <v>2.5</v>
      </c>
      <c r="F84" t="n">
        <v>2.34</v>
      </c>
      <c r="G84" t="n">
        <v>99.6066</v>
      </c>
      <c r="H84" t="n">
        <v>3.63</v>
      </c>
      <c r="I84" t="n">
        <v>66.5476618705036</v>
      </c>
      <c r="J84" t="n">
        <v>2.486745935289473</v>
      </c>
      <c r="K84" t="n">
        <v>54.01</v>
      </c>
      <c r="L84" t="n">
        <v>50</v>
      </c>
      <c r="M84" t="n">
        <v>0.594</v>
      </c>
      <c r="N84" t="n">
        <v>50</v>
      </c>
      <c r="O84" t="n">
        <v>18.36</v>
      </c>
      <c r="P84" t="n">
        <v>1.46</v>
      </c>
      <c r="Q84" t="n">
        <v>152.67</v>
      </c>
      <c r="R84" t="n">
        <v>90.63800000000001</v>
      </c>
      <c r="S84" t="n">
        <v>3.4</v>
      </c>
      <c r="T84" t="n">
        <v>4440.06</v>
      </c>
      <c r="U84" t="n">
        <v>-0.01</v>
      </c>
      <c r="V84" t="n">
        <v>-0.08</v>
      </c>
    </row>
    <row r="85">
      <c r="A85" t="inlineStr">
        <is>
          <t>2026-09-02 13:26:23</t>
        </is>
      </c>
      <c r="B85" t="n">
        <v>870.5</v>
      </c>
      <c r="C85" t="n">
        <v>4.88</v>
      </c>
      <c r="D85" t="n">
        <v>120.2528524075522</v>
      </c>
      <c r="E85" t="n">
        <v>2.5</v>
      </c>
      <c r="F85" t="n">
        <v>2.44</v>
      </c>
      <c r="G85" t="n">
        <v>99.7711</v>
      </c>
      <c r="H85" t="n">
        <v>3.7</v>
      </c>
      <c r="I85" t="n">
        <v>67.53532821557262</v>
      </c>
      <c r="J85" t="n">
        <v>2.414340041109163</v>
      </c>
      <c r="K85" t="n">
        <v>43.74</v>
      </c>
      <c r="L85" t="n">
        <v>50</v>
      </c>
      <c r="M85" t="n">
        <v>0.408</v>
      </c>
      <c r="N85" t="n">
        <v>50</v>
      </c>
      <c r="O85" t="n">
        <v>18.55</v>
      </c>
      <c r="P85" t="n">
        <v>1.53</v>
      </c>
      <c r="Q85" t="n">
        <v>117.92</v>
      </c>
      <c r="R85" t="n">
        <v>95.27500000000001</v>
      </c>
      <c r="S85" t="n">
        <v>3.4</v>
      </c>
      <c r="T85" t="n">
        <v>4310.78</v>
      </c>
      <c r="U85" t="n">
        <v>-0.01</v>
      </c>
      <c r="V85" t="n">
        <v>0.11</v>
      </c>
    </row>
    <row r="86">
      <c r="A86" t="inlineStr">
        <is>
          <t>2026-09-03 13:28:00</t>
        </is>
      </c>
      <c r="B86" t="n">
        <v>870.5</v>
      </c>
      <c r="C86" t="n">
        <v>4.88</v>
      </c>
      <c r="D86" t="n">
        <v>120.2528524075522</v>
      </c>
      <c r="E86" t="n">
        <v>2.5</v>
      </c>
      <c r="F86" t="n">
        <v>2.44</v>
      </c>
      <c r="G86" t="n">
        <v>99.3822</v>
      </c>
      <c r="H86" t="n">
        <v>4.19</v>
      </c>
      <c r="I86" t="n">
        <v>67.36662606577345</v>
      </c>
      <c r="J86" t="n">
        <v>2.478109650572112</v>
      </c>
      <c r="K86" t="n">
        <v>49.44</v>
      </c>
      <c r="L86" t="n">
        <v>50</v>
      </c>
      <c r="M86" t="n">
        <v>0.36</v>
      </c>
      <c r="N86" t="n">
        <v>50</v>
      </c>
      <c r="O86" t="n">
        <v>18.02</v>
      </c>
      <c r="P86" t="n">
        <v>1.53</v>
      </c>
      <c r="Q86" t="n">
        <v>117.92</v>
      </c>
      <c r="R86" t="n">
        <v>94.59699999999999</v>
      </c>
      <c r="S86" t="n">
        <v>3.4</v>
      </c>
      <c r="T86" t="n">
        <v>4424.64</v>
      </c>
      <c r="U86" t="n">
        <v>-0.01</v>
      </c>
      <c r="V86" t="n">
        <v>-0.18</v>
      </c>
    </row>
    <row r="87">
      <c r="A87" t="inlineStr">
        <is>
          <t>2026-09-05 13:15:24</t>
        </is>
      </c>
      <c r="B87" t="n">
        <v>870.5</v>
      </c>
      <c r="C87" t="n">
        <v>4.88</v>
      </c>
      <c r="D87" t="n">
        <v>120.2528524075522</v>
      </c>
      <c r="E87" t="n">
        <v>2.5</v>
      </c>
      <c r="F87" t="n">
        <v>2.42</v>
      </c>
      <c r="G87" t="n">
        <v>99.155</v>
      </c>
      <c r="H87" t="n">
        <v>3.39</v>
      </c>
      <c r="I87" t="n">
        <v>66.96327640924891</v>
      </c>
      <c r="J87" t="n">
        <v>2.481649295151471</v>
      </c>
      <c r="K87" t="n">
        <v>62.26</v>
      </c>
      <c r="L87" t="n">
        <v>50</v>
      </c>
      <c r="M87" t="n">
        <v>0.288</v>
      </c>
      <c r="N87" t="n">
        <v>50</v>
      </c>
      <c r="O87" t="n">
        <v>17.72</v>
      </c>
      <c r="P87" t="n">
        <v>1.54</v>
      </c>
      <c r="Q87" t="n">
        <v>117.92</v>
      </c>
      <c r="R87" t="n">
        <v>95.929</v>
      </c>
      <c r="S87" t="n">
        <v>3.4</v>
      </c>
      <c r="T87" t="n">
        <v>4430.96</v>
      </c>
      <c r="U87" t="n">
        <v>-0.01</v>
      </c>
      <c r="V87" t="n">
        <v>0.16</v>
      </c>
    </row>
    <row r="88">
      <c r="A88" t="inlineStr">
        <is>
          <t>2026-09-06 13:29:43</t>
        </is>
      </c>
      <c r="B88" t="n">
        <v>870.5</v>
      </c>
      <c r="C88" t="n">
        <v>4.88</v>
      </c>
      <c r="D88" t="n">
        <v>120.2528524075522</v>
      </c>
      <c r="E88" t="n">
        <v>2.5</v>
      </c>
      <c r="F88" t="n">
        <v>2.42</v>
      </c>
      <c r="G88" t="n">
        <v>99.155</v>
      </c>
      <c r="H88" t="n">
        <v>3.39</v>
      </c>
      <c r="I88" t="n">
        <v>66.96327640924891</v>
      </c>
      <c r="J88" t="n">
        <v>2.481649295151471</v>
      </c>
      <c r="K88" t="n">
        <v>62.26</v>
      </c>
      <c r="L88" t="n">
        <v>50</v>
      </c>
      <c r="M88" t="n">
        <v>0.288</v>
      </c>
      <c r="N88" t="n">
        <v>50</v>
      </c>
      <c r="O88" t="n">
        <v>17.72</v>
      </c>
      <c r="P88" t="n">
        <v>1.54</v>
      </c>
      <c r="Q88" t="n">
        <v>117.92</v>
      </c>
      <c r="R88" t="n">
        <v>95.929</v>
      </c>
      <c r="S88" t="n">
        <v>3.4</v>
      </c>
      <c r="T88" t="n">
        <v>4430.96</v>
      </c>
      <c r="U88" t="n">
        <v>-0.01</v>
      </c>
      <c r="V88" t="n">
        <v>0.16</v>
      </c>
    </row>
    <row r="89">
      <c r="A89" t="inlineStr">
        <is>
          <t>2026-09-07 13:41:13</t>
        </is>
      </c>
      <c r="B89" t="n">
        <v>870.5</v>
      </c>
      <c r="C89" t="n">
        <v>4.88</v>
      </c>
      <c r="D89" t="n">
        <v>120.2528524075522</v>
      </c>
      <c r="E89" t="n">
        <v>2.5</v>
      </c>
      <c r="F89" t="n">
        <v>2.42</v>
      </c>
      <c r="G89" t="n">
        <v>99.1627</v>
      </c>
      <c r="H89" t="n">
        <v>3.39</v>
      </c>
      <c r="I89" t="n">
        <v>66.88785898799574</v>
      </c>
      <c r="J89" t="n">
        <v>2.465368050227108</v>
      </c>
      <c r="K89" t="n">
        <v>62.26</v>
      </c>
      <c r="L89" t="n">
        <v>50</v>
      </c>
      <c r="M89" t="n">
        <v>0.288</v>
      </c>
      <c r="N89" t="n">
        <v>50</v>
      </c>
      <c r="O89" t="n">
        <v>17.72</v>
      </c>
      <c r="P89" t="n">
        <v>1.54</v>
      </c>
      <c r="Q89" t="n">
        <v>117.92</v>
      </c>
      <c r="R89" t="n">
        <v>97.53</v>
      </c>
      <c r="S89" t="n">
        <v>3.4</v>
      </c>
      <c r="T89" t="n">
        <v>4401.89</v>
      </c>
      <c r="U89" t="n">
        <v>-0.01</v>
      </c>
      <c r="V89" t="n">
        <v>0.01</v>
      </c>
    </row>
    <row r="90">
      <c r="A90" t="inlineStr">
        <is>
          <t>2026-09-08 13:35:49</t>
        </is>
      </c>
      <c r="B90" t="n">
        <v>870.5</v>
      </c>
      <c r="C90" t="n">
        <v>4.88</v>
      </c>
      <c r="D90" t="n">
        <v>120.2528524075522</v>
      </c>
      <c r="E90" t="n">
        <v>2.5</v>
      </c>
      <c r="F90" t="n">
        <v>2.42</v>
      </c>
      <c r="G90" t="n">
        <v>98.8267</v>
      </c>
      <c r="H90" t="n">
        <v>3.39</v>
      </c>
      <c r="I90" t="n">
        <v>66.43442992338892</v>
      </c>
      <c r="J90" t="n">
        <v>2.476933502847958</v>
      </c>
      <c r="K90" t="n">
        <v>62.26</v>
      </c>
      <c r="L90" t="n">
        <v>50</v>
      </c>
      <c r="M90" t="n">
        <v>0.288</v>
      </c>
      <c r="N90" t="n">
        <v>50</v>
      </c>
      <c r="O90" t="n">
        <v>17.72</v>
      </c>
      <c r="Q90" t="n">
        <v>117.92</v>
      </c>
      <c r="R90" t="n">
        <v>98.131</v>
      </c>
      <c r="S90" t="n">
        <v>3.4</v>
      </c>
      <c r="T90" t="n">
        <v>4422.54</v>
      </c>
      <c r="U90" t="n">
        <v>-0.01</v>
      </c>
      <c r="V90" t="n">
        <v>-0.09</v>
      </c>
    </row>
    <row r="91">
      <c r="A91" t="inlineStr">
        <is>
          <t>2026-09-09 13:42:55</t>
        </is>
      </c>
      <c r="B91" t="n">
        <v>870.5</v>
      </c>
      <c r="C91" t="n">
        <v>4.88</v>
      </c>
      <c r="D91" t="n">
        <v>120.2528524075522</v>
      </c>
      <c r="E91" t="n">
        <v>2.5</v>
      </c>
      <c r="F91" t="n">
        <v>2.43</v>
      </c>
      <c r="G91" t="n">
        <v>98.72750000000001</v>
      </c>
      <c r="H91" t="n">
        <v>2.91</v>
      </c>
      <c r="I91" t="n">
        <v>66.10430463576159</v>
      </c>
      <c r="J91" t="n">
        <v>2.459812152406343</v>
      </c>
      <c r="K91" t="n">
        <v>55.97</v>
      </c>
      <c r="L91" t="n">
        <v>50</v>
      </c>
      <c r="M91" t="n">
        <v>0.254</v>
      </c>
      <c r="N91" t="n">
        <v>50</v>
      </c>
      <c r="O91" t="n">
        <v>17.99</v>
      </c>
      <c r="P91" t="n">
        <v>1.52</v>
      </c>
      <c r="Q91" t="n">
        <v>117.92</v>
      </c>
      <c r="R91" t="n">
        <v>98.934</v>
      </c>
      <c r="S91" t="n">
        <v>3.4</v>
      </c>
      <c r="T91" t="n">
        <v>4391.97</v>
      </c>
      <c r="U91" t="n">
        <v>-0.01</v>
      </c>
      <c r="V91" t="n">
        <v>-0.14</v>
      </c>
    </row>
    <row r="92">
      <c r="A92" t="inlineStr">
        <is>
          <t>2026-09-10 13:35:57</t>
        </is>
      </c>
      <c r="B92" t="n">
        <v>870.5</v>
      </c>
      <c r="C92" t="n">
        <v>4.88</v>
      </c>
      <c r="D92" t="n">
        <v>120.2528524075522</v>
      </c>
      <c r="E92" t="n">
        <v>2.5</v>
      </c>
      <c r="F92" t="n">
        <v>2.43</v>
      </c>
      <c r="G92" t="n">
        <v>98.7287</v>
      </c>
      <c r="H92" t="n">
        <v>2.91</v>
      </c>
      <c r="I92" t="n">
        <v>65.29418707583358</v>
      </c>
      <c r="J92" t="n">
        <v>2.478669720916947</v>
      </c>
      <c r="K92" t="n">
        <v>63.51</v>
      </c>
      <c r="L92" t="n">
        <v>50</v>
      </c>
      <c r="M92" t="n">
        <v>0.2</v>
      </c>
      <c r="N92" t="n">
        <v>50</v>
      </c>
      <c r="O92" t="n">
        <v>18.3</v>
      </c>
      <c r="P92" t="n">
        <v>1.49</v>
      </c>
      <c r="Q92" t="n">
        <v>117.92</v>
      </c>
      <c r="R92" t="n">
        <v>100.421</v>
      </c>
      <c r="S92" t="n">
        <v>3.4</v>
      </c>
      <c r="T92" t="n">
        <v>4425.64</v>
      </c>
      <c r="U92" t="n">
        <v>-0.01</v>
      </c>
      <c r="V92" t="n">
        <v>-0.06</v>
      </c>
    </row>
    <row r="93">
      <c r="A93" t="inlineStr">
        <is>
          <t>2026-09-11 13:37:15</t>
        </is>
      </c>
      <c r="B93" t="n">
        <v>870.5</v>
      </c>
      <c r="C93" t="n">
        <v>4.88</v>
      </c>
      <c r="D93" t="n">
        <v>120.2528524075522</v>
      </c>
      <c r="E93" t="n">
        <v>2.5</v>
      </c>
      <c r="F93" t="n">
        <v>2.46</v>
      </c>
      <c r="G93" t="n">
        <v>99.03189999999999</v>
      </c>
      <c r="H93" t="n">
        <v>2.7</v>
      </c>
      <c r="I93" t="n">
        <v>67.95865956780457</v>
      </c>
      <c r="J93" t="n">
        <v>2.430615685330078</v>
      </c>
      <c r="K93" t="n">
        <v>55.57</v>
      </c>
      <c r="L93" t="n">
        <v>50</v>
      </c>
      <c r="M93" t="n">
        <v>0.194</v>
      </c>
      <c r="N93" t="n">
        <v>50</v>
      </c>
      <c r="O93" t="n">
        <v>18.88</v>
      </c>
      <c r="P93" t="n">
        <v>1.37</v>
      </c>
      <c r="Q93" t="n">
        <v>117.92</v>
      </c>
      <c r="R93" t="n">
        <v>105.944</v>
      </c>
      <c r="S93" t="n">
        <v>3.4</v>
      </c>
      <c r="T93" t="n">
        <v>4339.84</v>
      </c>
      <c r="U93" t="n">
        <v>-0.01</v>
      </c>
      <c r="V93" t="n">
        <v>-0.05</v>
      </c>
    </row>
    <row r="94">
      <c r="A94" t="inlineStr">
        <is>
          <t>2026-09-12 13:24:21</t>
        </is>
      </c>
      <c r="B94" t="n">
        <v>870.5</v>
      </c>
      <c r="C94" t="n">
        <v>4.88</v>
      </c>
      <c r="D94" t="n">
        <v>120.2528524075522</v>
      </c>
      <c r="E94" t="n">
        <v>2.5</v>
      </c>
      <c r="F94" t="n">
        <v>2.55</v>
      </c>
      <c r="G94" t="n">
        <v>99.09010000000001</v>
      </c>
      <c r="H94" t="n">
        <v>2.11</v>
      </c>
      <c r="I94" t="n">
        <v>67.46858029480218</v>
      </c>
      <c r="J94" t="n">
        <v>2.435381883964626</v>
      </c>
      <c r="K94" t="n">
        <v>55.96</v>
      </c>
      <c r="L94" t="n">
        <v>50</v>
      </c>
      <c r="M94" t="n">
        <v>0.284</v>
      </c>
      <c r="N94" t="n">
        <v>50</v>
      </c>
      <c r="O94" t="n">
        <v>18.07</v>
      </c>
      <c r="P94" t="n">
        <v>1.36</v>
      </c>
      <c r="Q94" t="n">
        <v>117.92</v>
      </c>
      <c r="R94" t="n">
        <v>104.246</v>
      </c>
      <c r="S94" t="n">
        <v>3.4</v>
      </c>
      <c r="T94" t="n">
        <v>4348.35</v>
      </c>
      <c r="U94" t="n">
        <v>-0.01</v>
      </c>
      <c r="V94" t="n">
        <v>0.01</v>
      </c>
    </row>
    <row r="95">
      <c r="A95" t="inlineStr">
        <is>
          <t>2026-09-13 13:39:43</t>
        </is>
      </c>
      <c r="B95" t="n">
        <v>870.5</v>
      </c>
      <c r="C95" t="n">
        <v>4.88</v>
      </c>
      <c r="D95" t="n">
        <v>120.2528524075522</v>
      </c>
      <c r="E95" t="n">
        <v>2.5</v>
      </c>
      <c r="F95" t="n">
        <v>2.55</v>
      </c>
      <c r="G95" t="n">
        <v>99.09010000000001</v>
      </c>
      <c r="H95" t="n">
        <v>2.11</v>
      </c>
      <c r="I95" t="n">
        <v>67.46858029480218</v>
      </c>
      <c r="J95" t="n">
        <v>2.435381883964626</v>
      </c>
      <c r="K95" t="n">
        <v>55.96</v>
      </c>
      <c r="L95" t="n">
        <v>50</v>
      </c>
      <c r="M95" t="n">
        <v>0.284</v>
      </c>
      <c r="N95" t="n">
        <v>50</v>
      </c>
      <c r="O95" t="n">
        <v>18.07</v>
      </c>
      <c r="P95" t="n">
        <v>1.36</v>
      </c>
      <c r="Q95" t="n">
        <v>117.92</v>
      </c>
      <c r="R95" t="n">
        <v>104.246</v>
      </c>
      <c r="S95" t="n">
        <v>3.4</v>
      </c>
      <c r="T95" t="n">
        <v>4348.35</v>
      </c>
      <c r="U95" t="n">
        <v>-0.01</v>
      </c>
      <c r="V95" t="n">
        <v>0.01</v>
      </c>
    </row>
    <row r="96">
      <c r="A96" t="inlineStr">
        <is>
          <t>2026-09-14 13:47:36</t>
        </is>
      </c>
      <c r="B96" t="n">
        <v>870.5</v>
      </c>
      <c r="C96" t="n">
        <v>4.88</v>
      </c>
      <c r="D96" t="n">
        <v>120.2528524075522</v>
      </c>
      <c r="E96" t="n">
        <v>2.5</v>
      </c>
      <c r="F96" t="n">
        <v>2.55</v>
      </c>
      <c r="G96" t="n">
        <v>99.315</v>
      </c>
      <c r="H96" t="n">
        <v>2.11</v>
      </c>
      <c r="I96" t="n">
        <v>67.8730407523511</v>
      </c>
      <c r="J96" t="n">
        <v>2.425272614240348</v>
      </c>
      <c r="K96" t="n">
        <v>55.96</v>
      </c>
      <c r="L96" t="n">
        <v>50</v>
      </c>
      <c r="M96" t="n">
        <v>0.284</v>
      </c>
      <c r="N96" t="n">
        <v>50</v>
      </c>
      <c r="O96" t="n">
        <v>18.07</v>
      </c>
      <c r="P96" t="n">
        <v>1.36</v>
      </c>
      <c r="Q96" t="n">
        <v>117.92</v>
      </c>
      <c r="R96" t="n">
        <v>106.614</v>
      </c>
      <c r="S96" t="n">
        <v>3.4</v>
      </c>
      <c r="T96" t="n">
        <v>4330.3</v>
      </c>
      <c r="U96" t="n">
        <v>-0.01</v>
      </c>
      <c r="V96" t="n">
        <v>0.23</v>
      </c>
    </row>
    <row r="97">
      <c r="A97" t="inlineStr">
        <is>
          <t>2026-09-15 13:48:54</t>
        </is>
      </c>
      <c r="B97" t="n">
        <v>870.5</v>
      </c>
      <c r="C97" t="n">
        <v>4.88</v>
      </c>
      <c r="D97" t="n">
        <v>120.2528524075522</v>
      </c>
      <c r="E97" t="n">
        <v>2.5</v>
      </c>
      <c r="F97" t="n">
        <v>2.6</v>
      </c>
      <c r="G97" t="n">
        <v>99.6036</v>
      </c>
      <c r="H97" t="n">
        <v>2.11</v>
      </c>
      <c r="I97" t="n">
        <v>67.98845119443126</v>
      </c>
      <c r="J97" t="n">
        <v>2.406930310446992</v>
      </c>
      <c r="K97" t="n">
        <v>43.74</v>
      </c>
      <c r="L97" t="n">
        <v>50</v>
      </c>
      <c r="M97" t="n">
        <v>0.264</v>
      </c>
      <c r="N97" t="n">
        <v>50</v>
      </c>
      <c r="O97" t="n">
        <v>18.23</v>
      </c>
      <c r="P97" t="n">
        <v>1.35</v>
      </c>
      <c r="Q97" t="n">
        <v>117.92</v>
      </c>
      <c r="R97" t="n">
        <v>107.234</v>
      </c>
      <c r="S97" t="n">
        <v>3.4</v>
      </c>
      <c r="T97" t="n">
        <v>4297.55</v>
      </c>
      <c r="U97" t="n">
        <v>-0.01</v>
      </c>
      <c r="V97" t="n">
        <v>0.13</v>
      </c>
    </row>
    <row r="98">
      <c r="A98" t="inlineStr">
        <is>
          <t>2026-09-16 13:38:11</t>
        </is>
      </c>
      <c r="B98" t="n">
        <v>870.5</v>
      </c>
      <c r="C98" t="n">
        <v>4.88</v>
      </c>
      <c r="D98" t="n">
        <v>120.2528524075522</v>
      </c>
      <c r="E98" t="n">
        <v>2.5</v>
      </c>
      <c r="F98" t="n">
        <v>2.6</v>
      </c>
      <c r="G98" t="n">
        <v>99.6087</v>
      </c>
      <c r="H98" t="n">
        <v>2.64</v>
      </c>
      <c r="I98" t="n">
        <v>66.94401484689143</v>
      </c>
      <c r="J98" t="n">
        <v>2.424320494654129</v>
      </c>
      <c r="K98" t="n">
        <v>43.16</v>
      </c>
      <c r="L98" t="n">
        <v>50</v>
      </c>
      <c r="M98" t="n">
        <v>0.326</v>
      </c>
      <c r="N98" t="n">
        <v>50</v>
      </c>
      <c r="O98" t="n">
        <v>18.26</v>
      </c>
      <c r="P98" t="n">
        <v>1.32</v>
      </c>
      <c r="Q98" t="n">
        <v>117.92</v>
      </c>
      <c r="R98" t="n">
        <v>107.972</v>
      </c>
      <c r="S98" t="n">
        <v>3.4</v>
      </c>
      <c r="T98" t="n">
        <v>4328.6</v>
      </c>
      <c r="U98" t="n">
        <v>-0.01</v>
      </c>
      <c r="V98" t="n">
        <v>-0.02</v>
      </c>
    </row>
    <row r="99">
      <c r="A99" t="inlineStr">
        <is>
          <t>2026-09-17 13:44:11</t>
        </is>
      </c>
      <c r="B99" t="n">
        <v>870.5</v>
      </c>
      <c r="C99" t="n">
        <v>4.88</v>
      </c>
      <c r="D99" t="n">
        <v>120.2528524075522</v>
      </c>
      <c r="E99" t="n">
        <v>2.5</v>
      </c>
      <c r="F99" t="n">
        <v>2.62</v>
      </c>
      <c r="G99" t="n">
        <v>100.2658</v>
      </c>
      <c r="H99" t="n">
        <v>2.78</v>
      </c>
      <c r="I99" t="n">
        <v>67.48044604994502</v>
      </c>
      <c r="J99" t="n">
        <v>2.406331035178018</v>
      </c>
      <c r="K99" t="n">
        <v>46.84</v>
      </c>
      <c r="L99" t="n">
        <v>50</v>
      </c>
      <c r="M99" t="n">
        <v>0.418</v>
      </c>
      <c r="N99" t="n">
        <v>50</v>
      </c>
      <c r="O99" t="n">
        <v>18.43</v>
      </c>
      <c r="P99" t="n">
        <v>1.31</v>
      </c>
      <c r="Q99" t="n">
        <v>117.92</v>
      </c>
      <c r="R99" t="n">
        <v>105.422</v>
      </c>
      <c r="S99" t="n">
        <v>3.4</v>
      </c>
      <c r="T99" t="n">
        <v>4296.48</v>
      </c>
      <c r="U99" t="n">
        <v>-0.01</v>
      </c>
      <c r="V99" t="n">
        <v>-0.06</v>
      </c>
    </row>
    <row r="100">
      <c r="A100" t="inlineStr">
        <is>
          <t>2026-09-18 13:32:54</t>
        </is>
      </c>
      <c r="B100" t="n">
        <v>870.5</v>
      </c>
      <c r="C100" t="n">
        <v>4.88</v>
      </c>
      <c r="D100" t="n">
        <v>120.2528524075522</v>
      </c>
      <c r="E100" t="n">
        <v>2.5</v>
      </c>
      <c r="F100" t="n">
        <v>2.68</v>
      </c>
      <c r="G100" t="n">
        <v>100.3127</v>
      </c>
      <c r="H100" t="n">
        <v>2.15</v>
      </c>
      <c r="I100" t="n">
        <v>65.88009664753851</v>
      </c>
      <c r="J100" t="n">
        <v>2.443351684971633</v>
      </c>
      <c r="K100" t="n">
        <v>48.31</v>
      </c>
      <c r="L100" t="n">
        <v>0</v>
      </c>
      <c r="M100" t="n">
        <v>0.446</v>
      </c>
      <c r="N100" t="n">
        <v>50</v>
      </c>
      <c r="O100" t="n">
        <v>17.73</v>
      </c>
      <c r="P100" t="n">
        <v>1.38</v>
      </c>
      <c r="Q100" t="n">
        <v>117.92</v>
      </c>
      <c r="R100" t="n">
        <v>98.886</v>
      </c>
      <c r="S100" t="n">
        <v>3.4</v>
      </c>
      <c r="T100" t="n">
        <v>4362.58</v>
      </c>
      <c r="U100" t="n">
        <v>-0.01</v>
      </c>
      <c r="V100" t="n">
        <v>0.08</v>
      </c>
    </row>
    <row r="101">
      <c r="A101" t="inlineStr">
        <is>
          <t>2026-09-19 13:29:33</t>
        </is>
      </c>
      <c r="B101" t="n">
        <v>870.5</v>
      </c>
      <c r="C101" t="n">
        <v>4.88</v>
      </c>
      <c r="D101" t="n">
        <v>120.2528524075522</v>
      </c>
      <c r="E101" t="n">
        <v>2.5</v>
      </c>
      <c r="F101" t="n">
        <v>2.61</v>
      </c>
      <c r="G101" t="n">
        <v>100.2167</v>
      </c>
      <c r="H101" t="n">
        <v>3.11</v>
      </c>
      <c r="I101" t="n">
        <v>66.08739622641509</v>
      </c>
      <c r="J101" t="n">
        <v>2.452150390088995</v>
      </c>
      <c r="K101" t="n">
        <v>43.27</v>
      </c>
      <c r="L101" t="n">
        <v>0</v>
      </c>
      <c r="M101" t="n">
        <v>0.27</v>
      </c>
      <c r="N101" t="n">
        <v>50</v>
      </c>
      <c r="O101" t="n">
        <v>17.76</v>
      </c>
      <c r="P101" t="n">
        <v>1.31</v>
      </c>
      <c r="Q101" t="n">
        <v>117.92</v>
      </c>
      <c r="R101" t="n">
        <v>98.73399999999999</v>
      </c>
      <c r="S101" t="n">
        <v>3.4</v>
      </c>
      <c r="T101" t="n">
        <v>4378.29</v>
      </c>
      <c r="U101" t="n">
        <v>-0.01</v>
      </c>
      <c r="V101" t="n">
        <v>-0.01</v>
      </c>
    </row>
    <row r="102">
      <c r="A102" t="inlineStr">
        <is>
          <t>2026-09-20 13:42:54</t>
        </is>
      </c>
      <c r="B102" t="n">
        <v>870.5</v>
      </c>
      <c r="C102" t="n">
        <v>4.88</v>
      </c>
      <c r="D102" t="n">
        <v>120.2528524075522</v>
      </c>
      <c r="E102" t="n">
        <v>2.5</v>
      </c>
      <c r="F102" t="n">
        <v>2.61</v>
      </c>
      <c r="G102" t="n">
        <v>100.2167</v>
      </c>
      <c r="H102" t="n">
        <v>3.11</v>
      </c>
      <c r="I102" t="n">
        <v>66.08739622641509</v>
      </c>
      <c r="J102" t="n">
        <v>2.452150390088995</v>
      </c>
      <c r="K102" t="n">
        <v>43.27</v>
      </c>
      <c r="L102" t="n">
        <v>0</v>
      </c>
      <c r="M102" t="n">
        <v>0.27</v>
      </c>
      <c r="N102" t="n">
        <v>50</v>
      </c>
      <c r="O102" t="n">
        <v>17.76</v>
      </c>
      <c r="P102" t="n">
        <v>1.31</v>
      </c>
      <c r="Q102" t="n">
        <v>117.92</v>
      </c>
      <c r="R102" t="n">
        <v>98.73399999999999</v>
      </c>
      <c r="S102" t="n">
        <v>3.4</v>
      </c>
      <c r="T102" t="n">
        <v>4378.29</v>
      </c>
      <c r="U102" t="n">
        <v>-0.01</v>
      </c>
      <c r="V102" t="n">
        <v>-0.01</v>
      </c>
    </row>
    <row r="103">
      <c r="A103" t="inlineStr">
        <is>
          <t>2026-09-21 13:54:15</t>
        </is>
      </c>
      <c r="B103" t="n">
        <v>870.5</v>
      </c>
      <c r="C103" t="n">
        <v>4.88</v>
      </c>
      <c r="D103" t="n">
        <v>120.2528524075522</v>
      </c>
      <c r="E103" t="n">
        <v>2.5</v>
      </c>
      <c r="F103" t="n">
        <v>2.61</v>
      </c>
      <c r="G103" t="n">
        <v>100.3296</v>
      </c>
      <c r="H103" t="n">
        <v>3.11</v>
      </c>
      <c r="I103" t="n">
        <v>65.95350598212933</v>
      </c>
      <c r="J103" t="n">
        <v>2.439055945426746</v>
      </c>
      <c r="K103" t="n">
        <v>43.27</v>
      </c>
      <c r="L103" t="n">
        <v>0</v>
      </c>
      <c r="M103" t="n">
        <v>0.27</v>
      </c>
      <c r="N103" t="n">
        <v>50</v>
      </c>
      <c r="O103" t="n">
        <v>17.76</v>
      </c>
      <c r="Q103" t="n">
        <v>117.92</v>
      </c>
      <c r="R103" t="n">
        <v>98.056</v>
      </c>
      <c r="S103" t="n">
        <v>3.4</v>
      </c>
      <c r="T103" t="n">
        <v>4354.91</v>
      </c>
      <c r="U103" t="n">
        <v>-0.01</v>
      </c>
      <c r="V103" t="n">
        <v>0.11</v>
      </c>
    </row>
    <row r="104">
      <c r="A104" t="inlineStr">
        <is>
          <t>2026-09-22 13:51:29</t>
        </is>
      </c>
      <c r="B104" t="n">
        <v>870.5</v>
      </c>
      <c r="C104" t="n">
        <v>4.88</v>
      </c>
      <c r="D104" t="n">
        <v>120.2528524075522</v>
      </c>
      <c r="E104" t="n">
        <v>2.5</v>
      </c>
      <c r="F104" t="n">
        <v>2.68</v>
      </c>
      <c r="G104" t="n">
        <v>100.3684</v>
      </c>
      <c r="H104" t="n">
        <v>2.01</v>
      </c>
      <c r="I104" t="n">
        <v>65.99177080158488</v>
      </c>
      <c r="J104" t="n">
        <v>2.425317419867935</v>
      </c>
      <c r="K104" t="n">
        <v>43.14</v>
      </c>
      <c r="L104" t="n">
        <v>0</v>
      </c>
      <c r="M104" t="n">
        <v>0.05</v>
      </c>
      <c r="N104" t="n">
        <v>50</v>
      </c>
      <c r="O104" t="n">
        <v>17.69</v>
      </c>
      <c r="P104" t="n">
        <v>1.36</v>
      </c>
      <c r="Q104" t="n">
        <v>117.92</v>
      </c>
      <c r="R104" t="n">
        <v>97.628</v>
      </c>
      <c r="S104" t="n">
        <v>3.4</v>
      </c>
      <c r="T104" t="n">
        <v>4330.38</v>
      </c>
      <c r="U104" t="n">
        <v>-0.01</v>
      </c>
      <c r="V104" t="n">
        <v>-0.06</v>
      </c>
    </row>
    <row r="105">
      <c r="A105" t="inlineStr">
        <is>
          <t>2026-09-23 13:29:14</t>
        </is>
      </c>
      <c r="B105" t="n">
        <v>870.5</v>
      </c>
      <c r="C105" t="n">
        <v>4.88</v>
      </c>
      <c r="D105" t="n">
        <v>120.2528524075522</v>
      </c>
      <c r="E105" t="n">
        <v>2.5</v>
      </c>
      <c r="F105" t="n">
        <v>2.62</v>
      </c>
      <c r="G105" t="n">
        <v>100.7105</v>
      </c>
      <c r="H105" t="n">
        <v>1.64</v>
      </c>
      <c r="I105" t="n">
        <v>65.29632972322501</v>
      </c>
      <c r="J105" t="n">
        <v>2.431209359895603</v>
      </c>
      <c r="K105" t="n">
        <v>46.03</v>
      </c>
      <c r="L105" t="n">
        <v>0</v>
      </c>
      <c r="M105" t="n">
        <v>-0.198</v>
      </c>
      <c r="N105" t="n">
        <v>100</v>
      </c>
      <c r="O105" t="n">
        <v>17.15</v>
      </c>
      <c r="P105" t="n">
        <v>1.36</v>
      </c>
      <c r="Q105" t="n">
        <v>117.92</v>
      </c>
      <c r="R105" t="n">
        <v>94.63800000000001</v>
      </c>
      <c r="S105" t="n">
        <v>3.4</v>
      </c>
      <c r="T105" t="n">
        <v>4340.9</v>
      </c>
      <c r="U105" t="n">
        <v>-0.01</v>
      </c>
      <c r="V105" t="n">
        <v>0.17</v>
      </c>
    </row>
    <row r="106">
      <c r="A106" t="inlineStr">
        <is>
          <t>2026-09-24 13:51:26</t>
        </is>
      </c>
      <c r="B106" t="n">
        <v>870.5</v>
      </c>
      <c r="C106" t="n">
        <v>4.88</v>
      </c>
      <c r="D106" t="n">
        <v>120.2528524075522</v>
      </c>
      <c r="E106" t="n">
        <v>2.5</v>
      </c>
      <c r="F106" t="n">
        <v>2.63</v>
      </c>
      <c r="G106" t="n">
        <v>101.1359</v>
      </c>
      <c r="H106" t="n">
        <v>0.92</v>
      </c>
      <c r="I106" t="n">
        <v>66.82368544234669</v>
      </c>
      <c r="J106" t="n">
        <v>2.398630067936533</v>
      </c>
      <c r="K106" t="n">
        <v>42.36</v>
      </c>
      <c r="L106" t="n">
        <v>0</v>
      </c>
      <c r="M106" t="n">
        <v>-0.44</v>
      </c>
      <c r="N106" t="n">
        <v>50</v>
      </c>
      <c r="O106" t="n">
        <v>17.49</v>
      </c>
      <c r="P106" t="n">
        <v>1.21</v>
      </c>
      <c r="Q106" t="n">
        <v>117.92</v>
      </c>
      <c r="R106" t="n">
        <v>98.13200000000001</v>
      </c>
      <c r="S106" t="n">
        <v>3.4</v>
      </c>
      <c r="T106" t="n">
        <v>4282.73</v>
      </c>
      <c r="U106" t="n">
        <v>-0.01</v>
      </c>
      <c r="V106" t="n">
        <v>0.01</v>
      </c>
    </row>
    <row r="107">
      <c r="A107" t="inlineStr">
        <is>
          <t>2026-09-25 13:48:55</t>
        </is>
      </c>
      <c r="B107" t="n">
        <v>870.5</v>
      </c>
      <c r="C107" t="n">
        <v>4.88</v>
      </c>
      <c r="D107" t="n">
        <v>120.2528524075522</v>
      </c>
      <c r="E107" t="n">
        <v>2.5</v>
      </c>
      <c r="F107" t="n">
        <v>2.76</v>
      </c>
      <c r="G107" t="n">
        <v>101.2297</v>
      </c>
      <c r="H107" t="n">
        <v>0.48</v>
      </c>
      <c r="I107" t="n">
        <v>67.02729839974897</v>
      </c>
      <c r="J107" t="n">
        <v>2.392799735646797</v>
      </c>
      <c r="K107" t="n">
        <v>42.36</v>
      </c>
      <c r="L107" t="n">
        <v>0</v>
      </c>
      <c r="M107" t="n">
        <v>-0.44</v>
      </c>
      <c r="N107" t="n">
        <v>50</v>
      </c>
      <c r="O107" t="n">
        <v>17.57</v>
      </c>
      <c r="P107" t="n">
        <v>1.14</v>
      </c>
      <c r="Q107" t="n">
        <v>117.92</v>
      </c>
      <c r="R107" t="n">
        <v>98.31</v>
      </c>
      <c r="S107" t="n">
        <v>3.4</v>
      </c>
      <c r="T107" t="n">
        <v>4272.32</v>
      </c>
      <c r="U107" t="n">
        <v>-0.01</v>
      </c>
      <c r="V107" t="n">
        <v>-0.01</v>
      </c>
    </row>
    <row r="108">
      <c r="A108" t="inlineStr">
        <is>
          <t>2026-09-26 13:50:52</t>
        </is>
      </c>
      <c r="B108" t="n">
        <v>870.5</v>
      </c>
      <c r="C108" t="n">
        <v>4.88</v>
      </c>
      <c r="D108" t="n">
        <v>120.2528524075522</v>
      </c>
      <c r="E108" t="n">
        <v>2.5</v>
      </c>
      <c r="F108" t="n">
        <v>2.85</v>
      </c>
      <c r="G108" t="n">
        <v>101.0343</v>
      </c>
      <c r="H108" t="n">
        <v>0.48</v>
      </c>
      <c r="I108" t="n">
        <v>66.64261275272162</v>
      </c>
      <c r="J108" t="n">
        <v>2.399968636060689</v>
      </c>
      <c r="K108" t="n">
        <v>42.36</v>
      </c>
      <c r="L108" t="n">
        <v>0</v>
      </c>
      <c r="M108" t="n">
        <v>-0.44</v>
      </c>
      <c r="N108" t="n">
        <v>50</v>
      </c>
      <c r="O108" t="n">
        <v>17.3</v>
      </c>
      <c r="P108" t="n">
        <v>1.15</v>
      </c>
      <c r="Q108" t="n">
        <v>117.92</v>
      </c>
      <c r="R108" t="n">
        <v>97.48399999999999</v>
      </c>
      <c r="S108" t="n">
        <v>3.4</v>
      </c>
      <c r="T108" t="n">
        <v>4285.12</v>
      </c>
      <c r="U108" t="n">
        <v>-0.01</v>
      </c>
      <c r="V108" t="n">
        <v>-0.21</v>
      </c>
    </row>
    <row r="109">
      <c r="A109" t="inlineStr">
        <is>
          <t>2026-09-27 14:13:31</t>
        </is>
      </c>
      <c r="B109" t="n">
        <v>870.5</v>
      </c>
      <c r="C109" t="n">
        <v>4.88</v>
      </c>
      <c r="D109" t="n">
        <v>120.2528524075522</v>
      </c>
      <c r="E109" t="n">
        <v>2.5</v>
      </c>
      <c r="F109" t="n">
        <v>2.85</v>
      </c>
      <c r="G109" t="n">
        <v>101.0343</v>
      </c>
      <c r="H109" t="n">
        <v>0.48</v>
      </c>
      <c r="I109" t="n">
        <v>66.64261275272162</v>
      </c>
      <c r="J109" t="n">
        <v>2.399968636060689</v>
      </c>
      <c r="K109" t="n">
        <v>42.36</v>
      </c>
      <c r="L109" t="n">
        <v>0</v>
      </c>
      <c r="M109" t="n">
        <v>-0.44</v>
      </c>
      <c r="N109" t="n">
        <v>50</v>
      </c>
      <c r="O109" t="n">
        <v>17.3</v>
      </c>
      <c r="P109" t="n">
        <v>1.15</v>
      </c>
      <c r="Q109" t="n">
        <v>117.92</v>
      </c>
      <c r="R109" t="n">
        <v>97.48399999999999</v>
      </c>
      <c r="S109" t="n">
        <v>3.4</v>
      </c>
      <c r="T109" t="n">
        <v>4285.12</v>
      </c>
      <c r="U109" t="n">
        <v>-0.01</v>
      </c>
      <c r="V109" t="n">
        <v>-0.21</v>
      </c>
    </row>
    <row r="110">
      <c r="A110" t="inlineStr">
        <is>
          <t>2026-09-28 14:19:10</t>
        </is>
      </c>
      <c r="B110" t="n">
        <v>870.5</v>
      </c>
      <c r="C110" t="n">
        <v>4.88</v>
      </c>
      <c r="D110" t="n">
        <v>120.2528524075522</v>
      </c>
      <c r="E110" t="n">
        <v>2.5</v>
      </c>
      <c r="F110" t="n">
        <v>2.85</v>
      </c>
      <c r="G110" t="n">
        <v>101.1739</v>
      </c>
      <c r="H110" t="n">
        <v>0.48</v>
      </c>
      <c r="I110" t="n">
        <v>67.75965595585849</v>
      </c>
      <c r="J110" t="n">
        <v>2.338489714308117</v>
      </c>
      <c r="K110" t="n">
        <v>42.36</v>
      </c>
      <c r="L110" t="n">
        <v>0</v>
      </c>
      <c r="M110" t="n">
        <v>-0.44</v>
      </c>
      <c r="N110" t="n">
        <v>50</v>
      </c>
      <c r="O110" t="n">
        <v>17.3</v>
      </c>
      <c r="P110" t="n">
        <v>1.15</v>
      </c>
      <c r="Q110" t="n">
        <v>117.92</v>
      </c>
      <c r="R110" t="n">
        <v>98.863</v>
      </c>
      <c r="S110" t="n">
        <v>3.4</v>
      </c>
      <c r="T110" t="n">
        <v>4175.35</v>
      </c>
      <c r="U110" t="n">
        <v>-0.01</v>
      </c>
      <c r="V110" t="n">
        <v>0.14</v>
      </c>
    </row>
    <row r="111">
      <c r="A111" t="inlineStr">
        <is>
          <t>2026-09-29 14:34:44</t>
        </is>
      </c>
      <c r="B111" t="n">
        <v>870.5</v>
      </c>
      <c r="C111" t="n">
        <v>4.88</v>
      </c>
      <c r="D111" t="n">
        <v>120.2528524075522</v>
      </c>
      <c r="E111" t="n">
        <v>2.5</v>
      </c>
      <c r="F111" t="n">
        <v>2.83</v>
      </c>
      <c r="G111" t="n">
        <v>101.2567</v>
      </c>
      <c r="H111" t="n">
        <v>1</v>
      </c>
      <c r="I111" t="n">
        <v>68.02166776099803</v>
      </c>
      <c r="J111" t="n">
        <v>2.32086430055615</v>
      </c>
      <c r="K111" t="n">
        <v>42.36</v>
      </c>
      <c r="L111" t="n">
        <v>0</v>
      </c>
      <c r="M111" t="n">
        <v>-0.44</v>
      </c>
      <c r="N111" t="n">
        <v>50</v>
      </c>
      <c r="O111" t="n">
        <v>17.46</v>
      </c>
      <c r="P111" t="n">
        <v>1.08</v>
      </c>
      <c r="Q111" t="n">
        <v>117.92</v>
      </c>
      <c r="R111" t="n">
        <v>99.47</v>
      </c>
      <c r="S111" t="n">
        <v>3.4</v>
      </c>
      <c r="T111" t="n">
        <v>4143.88</v>
      </c>
      <c r="U111" t="n">
        <v>-0.01</v>
      </c>
      <c r="V111" t="n">
        <v>0.07000000000000001</v>
      </c>
    </row>
    <row r="112">
      <c r="A112" t="inlineStr">
        <is>
          <t>2026-09-30 14:17:28</t>
        </is>
      </c>
      <c r="B112" t="n">
        <v>870.5</v>
      </c>
      <c r="C112" t="n">
        <v>4.88</v>
      </c>
      <c r="D112" t="n">
        <v>120.2528524075522</v>
      </c>
      <c r="E112" t="n">
        <v>2.5</v>
      </c>
      <c r="F112" t="n">
        <v>2.9</v>
      </c>
      <c r="G112" t="n">
        <v>101.2547</v>
      </c>
      <c r="H112" t="n">
        <v>1.14</v>
      </c>
      <c r="I112" t="n">
        <v>68.40657184894556</v>
      </c>
      <c r="J112" t="n">
        <v>2.343575153039222</v>
      </c>
      <c r="K112" t="n">
        <v>40.4</v>
      </c>
      <c r="L112" t="n">
        <v>0</v>
      </c>
      <c r="M112" t="n">
        <v>-0.712</v>
      </c>
      <c r="N112" t="n">
        <v>50</v>
      </c>
      <c r="O112" t="n">
        <v>17.45</v>
      </c>
      <c r="P112" t="n">
        <v>1.06</v>
      </c>
      <c r="Q112" t="n">
        <v>117.92</v>
      </c>
      <c r="R112" t="n">
        <v>95.727</v>
      </c>
      <c r="S112" t="n">
        <v>3.4</v>
      </c>
      <c r="T112" t="n">
        <v>4184.43</v>
      </c>
      <c r="U112" t="n">
        <v>-0.01</v>
      </c>
      <c r="V112" t="n">
        <v>-0.13</v>
      </c>
    </row>
    <row r="113">
      <c r="A113" t="inlineStr">
        <is>
          <t>2026-10-02 14:41:01</t>
        </is>
      </c>
      <c r="B113" t="n">
        <v>870.5</v>
      </c>
      <c r="C113" t="n">
        <v>4.88</v>
      </c>
      <c r="D113" t="n">
        <v>121.1877334510947</v>
      </c>
      <c r="E113" t="n">
        <v>2.5</v>
      </c>
      <c r="F113" t="n">
        <v>2.93</v>
      </c>
      <c r="G113" t="n">
        <v>101.8811</v>
      </c>
      <c r="H113" t="n">
        <v>1.36</v>
      </c>
      <c r="I113" t="n">
        <v>68.44142670157069</v>
      </c>
      <c r="J113" t="n">
        <v>2.342852662294384</v>
      </c>
      <c r="K113" t="n">
        <v>31.07</v>
      </c>
      <c r="L113" t="n">
        <v>50</v>
      </c>
      <c r="M113" t="n">
        <v>-0.418</v>
      </c>
      <c r="N113" t="n">
        <v>50</v>
      </c>
      <c r="O113" t="n">
        <v>17.79</v>
      </c>
      <c r="P113" t="n">
        <v>1.23</v>
      </c>
      <c r="Q113" t="n">
        <v>146.21</v>
      </c>
      <c r="R113" t="n">
        <v>101.483</v>
      </c>
      <c r="S113" t="n">
        <v>3.4</v>
      </c>
      <c r="T113" t="n">
        <v>4183.14</v>
      </c>
      <c r="U113" t="n">
        <v>-0.01</v>
      </c>
      <c r="V113" t="n">
        <v>-0.16</v>
      </c>
    </row>
    <row r="114">
      <c r="A114" t="inlineStr">
        <is>
          <t>2026-10-03 14:02:14</t>
        </is>
      </c>
      <c r="B114" t="n">
        <v>870.5</v>
      </c>
      <c r="C114" t="n">
        <v>4.88</v>
      </c>
      <c r="D114" t="n">
        <v>121.1877334510947</v>
      </c>
      <c r="E114" t="n">
        <v>2.5</v>
      </c>
      <c r="F114" t="n">
        <v>2.88</v>
      </c>
      <c r="G114" t="n">
        <v>101.9303</v>
      </c>
      <c r="H114" t="n">
        <v>0.87</v>
      </c>
      <c r="I114" t="n">
        <v>68.59927079880676</v>
      </c>
      <c r="J114" t="n">
        <v>2.318287976969907</v>
      </c>
      <c r="K114" t="n">
        <v>38.36</v>
      </c>
      <c r="L114" t="n">
        <v>50</v>
      </c>
      <c r="M114" t="n">
        <v>-0.362</v>
      </c>
      <c r="N114" t="n">
        <v>50</v>
      </c>
      <c r="O114" t="n">
        <v>17.4</v>
      </c>
      <c r="P114" t="n">
        <v>1.19</v>
      </c>
      <c r="Q114" t="n">
        <v>146.21</v>
      </c>
      <c r="R114" t="n">
        <v>102.653</v>
      </c>
      <c r="S114" t="n">
        <v>3.4</v>
      </c>
      <c r="T114" t="n">
        <v>4139.28</v>
      </c>
      <c r="U114" t="n">
        <v>-0.01</v>
      </c>
      <c r="V114" t="n">
        <v>-0.11</v>
      </c>
    </row>
    <row r="115">
      <c r="A115" t="inlineStr">
        <is>
          <t>2026-10-04 14:37:12</t>
        </is>
      </c>
      <c r="B115" t="n">
        <v>870.5</v>
      </c>
      <c r="C115" t="n">
        <v>4.88</v>
      </c>
      <c r="D115" t="n">
        <v>121.1877334510947</v>
      </c>
      <c r="E115" t="n">
        <v>2.5</v>
      </c>
      <c r="F115" t="n">
        <v>2.88</v>
      </c>
      <c r="G115" t="n">
        <v>101.9303</v>
      </c>
      <c r="H115" t="n">
        <v>0.87</v>
      </c>
      <c r="I115" t="n">
        <v>68.59927079880676</v>
      </c>
      <c r="J115" t="n">
        <v>2.318287976969907</v>
      </c>
      <c r="K115" t="n">
        <v>38.36</v>
      </c>
      <c r="L115" t="n">
        <v>50</v>
      </c>
      <c r="M115" t="n">
        <v>-0.362</v>
      </c>
      <c r="N115" t="n">
        <v>50</v>
      </c>
      <c r="O115" t="n">
        <v>17.4</v>
      </c>
      <c r="P115" t="n">
        <v>1.19</v>
      </c>
      <c r="Q115" t="n">
        <v>146.21</v>
      </c>
      <c r="R115" t="n">
        <v>102.653</v>
      </c>
      <c r="S115" t="n">
        <v>3.4</v>
      </c>
      <c r="T115" t="n">
        <v>4139.28</v>
      </c>
      <c r="U115" t="n">
        <v>-0.01</v>
      </c>
      <c r="V115" t="n">
        <v>-0.11</v>
      </c>
    </row>
    <row r="116">
      <c r="A116" t="inlineStr">
        <is>
          <t>2026-10-05 14:32:58</t>
        </is>
      </c>
      <c r="B116" t="n">
        <v>870.5</v>
      </c>
      <c r="C116" t="n">
        <v>4.88</v>
      </c>
      <c r="D116" t="n">
        <v>121.1877334510947</v>
      </c>
      <c r="E116" t="n">
        <v>2.5</v>
      </c>
      <c r="F116" t="n">
        <v>2.88</v>
      </c>
      <c r="G116" t="n">
        <v>102.3538</v>
      </c>
      <c r="H116" t="n">
        <v>0.87</v>
      </c>
      <c r="I116" t="n">
        <v>67.65537459283388</v>
      </c>
      <c r="J116" t="n">
        <v>2.326554615259677</v>
      </c>
      <c r="K116" t="n">
        <v>38.36</v>
      </c>
      <c r="L116" t="n">
        <v>50</v>
      </c>
      <c r="M116" t="n">
        <v>-0.362</v>
      </c>
      <c r="N116" t="n">
        <v>50</v>
      </c>
      <c r="O116" t="n">
        <v>17.4</v>
      </c>
      <c r="P116" t="n">
        <v>1.19</v>
      </c>
      <c r="Q116" t="n">
        <v>146.21</v>
      </c>
      <c r="R116" t="n">
        <v>101.479</v>
      </c>
      <c r="S116" t="n">
        <v>3.4</v>
      </c>
      <c r="T116" t="n">
        <v>4154.04</v>
      </c>
      <c r="U116" t="n">
        <v>-0.01</v>
      </c>
      <c r="V116" t="n">
        <v>0.42</v>
      </c>
    </row>
    <row r="117">
      <c r="A117" t="inlineStr">
        <is>
          <t>2026-10-06 15:11:09</t>
        </is>
      </c>
      <c r="B117" t="n">
        <v>870.5</v>
      </c>
      <c r="C117" t="n">
        <v>4.88</v>
      </c>
      <c r="D117" t="n">
        <v>121.1877334510947</v>
      </c>
      <c r="E117" t="n">
        <v>2.5</v>
      </c>
      <c r="F117" t="n">
        <v>2.92</v>
      </c>
      <c r="G117" t="n">
        <v>102.2757</v>
      </c>
      <c r="H117" t="n">
        <v>-0.03</v>
      </c>
      <c r="I117" t="n">
        <v>68.11596832728472</v>
      </c>
      <c r="J117" t="n">
        <v>2.312636867190519</v>
      </c>
      <c r="K117" t="n">
        <v>32.34</v>
      </c>
      <c r="L117" t="n">
        <v>50</v>
      </c>
      <c r="M117" t="n">
        <v>-0.348</v>
      </c>
      <c r="N117" t="n">
        <v>50</v>
      </c>
      <c r="O117" t="n">
        <v>17.2</v>
      </c>
      <c r="P117" t="n">
        <v>1.16</v>
      </c>
      <c r="Q117" t="n">
        <v>146.21</v>
      </c>
      <c r="R117" t="n">
        <v>99.54900000000001</v>
      </c>
      <c r="S117" t="n">
        <v>3.4</v>
      </c>
      <c r="T117" t="n">
        <v>4129.19</v>
      </c>
      <c r="U117" t="n">
        <v>-0.01</v>
      </c>
      <c r="V117" t="n">
        <v>0.16</v>
      </c>
    </row>
    <row r="118">
      <c r="A118" t="inlineStr">
        <is>
          <t>2026-10-07 14:50:50</t>
        </is>
      </c>
      <c r="B118" t="n">
        <v>870.5</v>
      </c>
      <c r="C118" t="n">
        <v>4.88</v>
      </c>
      <c r="D118" t="n">
        <v>121.1877334510947</v>
      </c>
      <c r="E118" t="n">
        <v>2.5</v>
      </c>
      <c r="F118" t="n">
        <v>2.95</v>
      </c>
      <c r="G118" t="n">
        <v>102.0832</v>
      </c>
      <c r="H118" t="n">
        <v>0.62</v>
      </c>
      <c r="I118" t="n">
        <v>68.35968248718373</v>
      </c>
      <c r="J118" t="n">
        <v>2.142329259823585</v>
      </c>
      <c r="K118" t="n">
        <v>29.47</v>
      </c>
      <c r="L118" t="n">
        <v>50</v>
      </c>
      <c r="M118" t="n">
        <v>-0.472</v>
      </c>
      <c r="N118" t="n">
        <v>50</v>
      </c>
      <c r="O118" t="n">
        <v>16.75</v>
      </c>
      <c r="P118" t="n">
        <v>1.2</v>
      </c>
      <c r="Q118" t="n">
        <v>146.21</v>
      </c>
      <c r="R118" t="n">
        <v>101.472</v>
      </c>
      <c r="S118" t="n">
        <v>3.4</v>
      </c>
      <c r="T118" t="n">
        <v>4133.71</v>
      </c>
      <c r="U118" t="n">
        <v>-0.01</v>
      </c>
      <c r="V118" t="n">
        <v>0.24</v>
      </c>
    </row>
    <row r="119">
      <c r="A119" t="inlineStr">
        <is>
          <t>2026-10-08 14:59:33</t>
        </is>
      </c>
      <c r="B119" t="n">
        <v>870.5</v>
      </c>
      <c r="C119" t="n">
        <v>4.88</v>
      </c>
      <c r="D119" t="n">
        <v>121.1877334510947</v>
      </c>
      <c r="E119" t="n">
        <v>2.5</v>
      </c>
      <c r="F119" t="n">
        <v>2.91</v>
      </c>
      <c r="G119" t="n">
        <v>102.3164</v>
      </c>
      <c r="H119" t="n">
        <v>0.86</v>
      </c>
      <c r="I119" t="n">
        <v>69.7026204564666</v>
      </c>
      <c r="J119" t="n">
        <v>2.136732070856266</v>
      </c>
      <c r="K119" t="n">
        <v>29.93</v>
      </c>
      <c r="L119" t="n">
        <v>50</v>
      </c>
      <c r="M119" t="n">
        <v>-0.64</v>
      </c>
      <c r="N119" t="n">
        <v>50</v>
      </c>
      <c r="O119" t="n">
        <v>16.9</v>
      </c>
      <c r="P119" t="n">
        <v>1.19</v>
      </c>
      <c r="Q119" t="n">
        <v>146.21</v>
      </c>
      <c r="R119" t="n">
        <v>103.551</v>
      </c>
      <c r="S119" t="n">
        <v>3.4</v>
      </c>
      <c r="T119" t="n">
        <v>4122.91</v>
      </c>
      <c r="U119" t="n">
        <v>-0.01</v>
      </c>
      <c r="V119" t="n">
        <v>0.04</v>
      </c>
    </row>
    <row r="120">
      <c r="A120" t="inlineStr">
        <is>
          <t>2026-10-09 15:07:46</t>
        </is>
      </c>
      <c r="B120" t="n">
        <v>870.5</v>
      </c>
      <c r="C120" t="n">
        <v>4.88</v>
      </c>
      <c r="D120" t="n">
        <v>121.1877334510947</v>
      </c>
      <c r="E120" t="n">
        <v>2.5</v>
      </c>
      <c r="F120" t="n">
        <v>2.92</v>
      </c>
      <c r="G120" t="n">
        <v>102.0656</v>
      </c>
      <c r="H120" t="n">
        <v>0.46</v>
      </c>
      <c r="I120" t="n">
        <v>69.54476127320955</v>
      </c>
      <c r="J120" t="n">
        <v>2.174062211718855</v>
      </c>
      <c r="K120" t="n">
        <v>39.77</v>
      </c>
      <c r="L120" t="n">
        <v>50</v>
      </c>
      <c r="M120" t="n">
        <v>-0.748</v>
      </c>
      <c r="N120" t="n">
        <v>50</v>
      </c>
      <c r="O120" t="n">
        <v>17.24</v>
      </c>
      <c r="P120" t="n">
        <v>1.25</v>
      </c>
      <c r="Q120" t="n">
        <v>146.21</v>
      </c>
      <c r="R120" t="n">
        <v>103.526</v>
      </c>
      <c r="S120" t="n">
        <v>3.4</v>
      </c>
      <c r="T120" t="n">
        <v>4194.94</v>
      </c>
      <c r="U120" t="n">
        <v>-0.01</v>
      </c>
      <c r="V120" t="n">
        <v>-0.06</v>
      </c>
    </row>
    <row r="121">
      <c r="A121" t="inlineStr">
        <is>
          <t>2026-10-10 14:41:11</t>
        </is>
      </c>
      <c r="B121" t="n">
        <v>870.5</v>
      </c>
      <c r="C121" t="n">
        <v>4.88</v>
      </c>
      <c r="D121" t="n">
        <v>121.1877334510947</v>
      </c>
      <c r="E121" t="n">
        <v>2.5</v>
      </c>
      <c r="F121" t="n">
        <v>2.87</v>
      </c>
      <c r="G121" t="n">
        <v>102.2306</v>
      </c>
      <c r="H121" t="n">
        <v>0.27</v>
      </c>
      <c r="I121" t="n">
        <v>68.99802599111696</v>
      </c>
      <c r="J121" t="n">
        <v>2.173777169688112</v>
      </c>
      <c r="K121" t="n">
        <v>45.37</v>
      </c>
      <c r="L121" t="n">
        <v>50</v>
      </c>
      <c r="M121" t="n">
        <v>-0.872</v>
      </c>
      <c r="N121" t="n">
        <v>50</v>
      </c>
      <c r="O121" t="n">
        <v>16.99</v>
      </c>
      <c r="P121" t="n">
        <v>1.23</v>
      </c>
      <c r="Q121" t="n">
        <v>146.21</v>
      </c>
      <c r="R121" t="n">
        <v>104.595</v>
      </c>
      <c r="S121" t="n">
        <v>3.4</v>
      </c>
      <c r="T121" t="n">
        <v>4194.39</v>
      </c>
      <c r="U121" t="n">
        <v>-0.01</v>
      </c>
      <c r="V121" t="n">
        <v>0.1</v>
      </c>
    </row>
    <row r="122">
      <c r="A122" t="inlineStr">
        <is>
          <t>2026-10-11 14:48:09</t>
        </is>
      </c>
      <c r="B122" t="n">
        <v>870.5</v>
      </c>
      <c r="C122" t="n">
        <v>4.88</v>
      </c>
      <c r="D122" t="n">
        <v>121.1877334510947</v>
      </c>
      <c r="E122" t="n">
        <v>2.5</v>
      </c>
      <c r="F122" t="n">
        <v>2.87</v>
      </c>
      <c r="G122" t="n">
        <v>102.2306</v>
      </c>
      <c r="H122" t="n">
        <v>0.27</v>
      </c>
      <c r="I122" t="n">
        <v>68.99802599111696</v>
      </c>
      <c r="J122" t="n">
        <v>2.173777169688112</v>
      </c>
      <c r="K122" t="n">
        <v>45.37</v>
      </c>
      <c r="L122" t="n">
        <v>50</v>
      </c>
      <c r="M122" t="n">
        <v>-0.872</v>
      </c>
      <c r="N122" t="n">
        <v>50</v>
      </c>
      <c r="O122" t="n">
        <v>16.99</v>
      </c>
      <c r="Q122" t="n">
        <v>146.21</v>
      </c>
      <c r="R122" t="n">
        <v>104.595</v>
      </c>
      <c r="S122" t="n">
        <v>3.4</v>
      </c>
      <c r="T122" t="n">
        <v>4194.39</v>
      </c>
      <c r="U122" t="n">
        <v>-0.01</v>
      </c>
      <c r="V122" t="n">
        <v>0.1</v>
      </c>
    </row>
    <row r="123">
      <c r="A123" t="inlineStr">
        <is>
          <t>2026-10-12 14:58:12</t>
        </is>
      </c>
      <c r="B123" t="n">
        <v>870.5</v>
      </c>
      <c r="C123" t="n">
        <v>4.88</v>
      </c>
      <c r="D123" t="n">
        <v>121.1877334510947</v>
      </c>
      <c r="E123" t="n">
        <v>2.5</v>
      </c>
      <c r="F123" t="n">
        <v>2.87</v>
      </c>
      <c r="G123" t="n">
        <v>102.1867</v>
      </c>
      <c r="H123" t="n">
        <v>0.27</v>
      </c>
      <c r="I123" t="n">
        <v>68.83141447368421</v>
      </c>
      <c r="J123" t="n">
        <v>2.168884811924086</v>
      </c>
      <c r="K123" t="n">
        <v>45.37</v>
      </c>
      <c r="L123" t="n">
        <v>50</v>
      </c>
      <c r="M123" t="n">
        <v>-0.872</v>
      </c>
      <c r="N123" t="n">
        <v>50</v>
      </c>
      <c r="O123" t="n">
        <v>16.99</v>
      </c>
      <c r="Q123" t="n">
        <v>146.21</v>
      </c>
      <c r="R123" t="n">
        <v>104.465</v>
      </c>
      <c r="S123" t="n">
        <v>3.4</v>
      </c>
      <c r="T123" t="n">
        <v>4184.95</v>
      </c>
      <c r="U123" t="n">
        <v>-0.01</v>
      </c>
      <c r="V123" t="n">
        <v>-0.04</v>
      </c>
    </row>
    <row r="124">
      <c r="A124" t="inlineStr">
        <is>
          <t>2026-10-13 15:21:04</t>
        </is>
      </c>
      <c r="B124" t="n">
        <v>870.5</v>
      </c>
      <c r="C124" t="n">
        <v>4.88</v>
      </c>
      <c r="D124" t="n">
        <v>121.1877334510947</v>
      </c>
      <c r="E124" t="n">
        <v>2.5</v>
      </c>
      <c r="F124" t="n">
        <v>2.87</v>
      </c>
      <c r="G124" t="n">
        <v>102.3159</v>
      </c>
      <c r="H124" t="n">
        <v>0.76</v>
      </c>
      <c r="I124" t="n">
        <v>69.21409706173654</v>
      </c>
      <c r="J124" t="n">
        <v>2.173051608155312</v>
      </c>
      <c r="K124" t="n">
        <v>45.69</v>
      </c>
      <c r="L124" t="n">
        <v>50</v>
      </c>
      <c r="M124" t="n">
        <v>-0.836</v>
      </c>
      <c r="N124" t="n">
        <v>50</v>
      </c>
      <c r="O124" t="n">
        <v>16.69</v>
      </c>
      <c r="Q124" t="n">
        <v>146.21</v>
      </c>
      <c r="R124" t="n">
        <v>105.173</v>
      </c>
      <c r="S124" t="n">
        <v>3.4</v>
      </c>
      <c r="T124" t="n">
        <v>4192.99</v>
      </c>
      <c r="U124" t="n">
        <v>-0.01</v>
      </c>
      <c r="V124" t="n">
        <v>-0.26</v>
      </c>
    </row>
    <row r="125">
      <c r="A125" t="inlineStr">
        <is>
          <t>2026-10-14 13:48:30</t>
        </is>
      </c>
      <c r="B125" t="n">
        <v>870.5</v>
      </c>
      <c r="C125" t="n">
        <v>4.88</v>
      </c>
      <c r="D125" t="n">
        <v>121.1877334510947</v>
      </c>
      <c r="E125" t="n">
        <v>2.5</v>
      </c>
      <c r="F125" t="n">
        <v>2.91</v>
      </c>
      <c r="G125" t="n">
        <v>102.1161</v>
      </c>
      <c r="H125" t="n">
        <v>0.37</v>
      </c>
      <c r="I125" t="n">
        <v>70.43680108437817</v>
      </c>
      <c r="J125" t="n">
        <v>2.154492780662749</v>
      </c>
      <c r="K125" t="n">
        <v>42.01</v>
      </c>
      <c r="L125" t="n">
        <v>50</v>
      </c>
      <c r="M125" t="n">
        <v>-0.866</v>
      </c>
      <c r="N125" t="n">
        <v>50</v>
      </c>
      <c r="O125" t="n">
        <v>16.68</v>
      </c>
      <c r="P125" t="n">
        <v>1.26</v>
      </c>
      <c r="Q125" t="n">
        <v>146.21</v>
      </c>
      <c r="R125" t="n">
        <v>106.172</v>
      </c>
      <c r="S125" t="n">
        <v>3.4</v>
      </c>
      <c r="T125" t="n">
        <v>4157.18</v>
      </c>
      <c r="U125" t="n">
        <v>-0.01</v>
      </c>
      <c r="V125" t="n">
        <v>-0.08</v>
      </c>
    </row>
    <row r="126">
      <c r="A126" t="inlineStr">
        <is>
          <t>2026-10-15 13:33:42</t>
        </is>
      </c>
      <c r="B126" t="n">
        <v>870.5</v>
      </c>
      <c r="C126" t="n">
        <v>4.88</v>
      </c>
      <c r="D126" t="n">
        <v>121.1877334510947</v>
      </c>
      <c r="E126" t="n">
        <v>2.5</v>
      </c>
      <c r="F126" t="n">
        <v>2.88</v>
      </c>
      <c r="G126" t="n">
        <v>102.1046</v>
      </c>
      <c r="H126" t="n">
        <v>0.37</v>
      </c>
      <c r="I126" t="n">
        <v>74.19903260480115</v>
      </c>
      <c r="J126" t="n">
        <v>2.14651678638432</v>
      </c>
      <c r="K126" t="n">
        <v>44.79</v>
      </c>
      <c r="L126" t="n">
        <v>50</v>
      </c>
      <c r="M126" t="n">
        <v>-0.896</v>
      </c>
      <c r="N126" t="n">
        <v>50</v>
      </c>
      <c r="O126" t="n">
        <v>17.2</v>
      </c>
      <c r="P126" t="n">
        <v>1.28</v>
      </c>
      <c r="Q126" t="n">
        <v>146.21</v>
      </c>
      <c r="R126" t="n">
        <v>104.513</v>
      </c>
      <c r="S126" t="n">
        <v>3.7</v>
      </c>
      <c r="T126" t="n">
        <v>4141.79</v>
      </c>
      <c r="U126" t="n">
        <v>-0.01</v>
      </c>
      <c r="V126" t="n">
        <v>-0.41</v>
      </c>
    </row>
    <row r="127">
      <c r="A127" t="inlineStr">
        <is>
          <t>2026-10-16 13:26:38</t>
        </is>
      </c>
      <c r="B127" t="n">
        <v>870.5</v>
      </c>
      <c r="C127" t="n">
        <v>4.88</v>
      </c>
      <c r="D127" t="n">
        <v>121.1877334510947</v>
      </c>
      <c r="E127" t="n">
        <v>2.5</v>
      </c>
      <c r="F127" t="n">
        <v>2.84</v>
      </c>
      <c r="G127" t="n">
        <v>101.9215</v>
      </c>
      <c r="H127" t="n">
        <v>0.18</v>
      </c>
      <c r="I127" t="n">
        <v>72.31930006930008</v>
      </c>
      <c r="J127" t="n">
        <v>2.163349813945293</v>
      </c>
      <c r="K127" t="n">
        <v>51.42</v>
      </c>
      <c r="L127" t="n">
        <v>50</v>
      </c>
      <c r="M127" t="n">
        <v>-0.878</v>
      </c>
      <c r="N127" t="n">
        <v>50</v>
      </c>
      <c r="O127" t="n">
        <v>17.08</v>
      </c>
      <c r="P127" t="n">
        <v>1.37</v>
      </c>
      <c r="Q127" t="n">
        <v>146.21</v>
      </c>
      <c r="R127" t="n">
        <v>105.431</v>
      </c>
      <c r="S127" t="n">
        <v>3.7</v>
      </c>
      <c r="T127" t="n">
        <v>4174.27</v>
      </c>
      <c r="U127" t="n">
        <v>-0.01</v>
      </c>
      <c r="V127" t="n">
        <v>-0.05</v>
      </c>
    </row>
    <row r="128">
      <c r="A128" t="inlineStr">
        <is>
          <t>2026-10-17 13:19:11</t>
        </is>
      </c>
      <c r="B128" t="n">
        <v>870.5</v>
      </c>
      <c r="C128" t="n">
        <v>4.88</v>
      </c>
      <c r="D128" t="n">
        <v>121.1877334510947</v>
      </c>
      <c r="E128" t="n">
        <v>2.5</v>
      </c>
      <c r="F128" t="n">
        <v>2.78</v>
      </c>
      <c r="G128" t="n">
        <v>101.7827</v>
      </c>
      <c r="H128" t="n">
        <v>0.59</v>
      </c>
      <c r="I128" t="n">
        <v>73.13048823322796</v>
      </c>
      <c r="J128" t="n">
        <v>2.158053214755849</v>
      </c>
      <c r="K128" t="n">
        <v>49.32</v>
      </c>
      <c r="L128" t="n">
        <v>50</v>
      </c>
      <c r="M128" t="n">
        <v>-0.756</v>
      </c>
      <c r="N128" t="n">
        <v>50</v>
      </c>
      <c r="O128" t="n">
        <v>18.38</v>
      </c>
      <c r="P128" t="n">
        <v>1.38</v>
      </c>
      <c r="Q128" t="n">
        <v>146.21</v>
      </c>
      <c r="R128" t="n">
        <v>109.928</v>
      </c>
      <c r="S128" t="n">
        <v>3.7</v>
      </c>
      <c r="T128" t="n">
        <v>4164.05</v>
      </c>
      <c r="U128" t="n">
        <v>-0.01</v>
      </c>
      <c r="V128" t="n">
        <v>-0.19</v>
      </c>
    </row>
    <row r="129">
      <c r="A129" t="inlineStr">
        <is>
          <t>2026-10-18 13:25:54</t>
        </is>
      </c>
      <c r="B129" t="n">
        <v>870.5</v>
      </c>
      <c r="C129" t="n">
        <v>4.88</v>
      </c>
      <c r="D129" t="n">
        <v>121.1877334510947</v>
      </c>
      <c r="E129" t="n">
        <v>2.5</v>
      </c>
      <c r="F129" t="n">
        <v>2.78</v>
      </c>
      <c r="G129" t="n">
        <v>101.7827</v>
      </c>
      <c r="H129" t="n">
        <v>0.59</v>
      </c>
      <c r="I129" t="n">
        <v>73.13048823322796</v>
      </c>
      <c r="J129" t="n">
        <v>2.158053214755849</v>
      </c>
      <c r="K129" t="n">
        <v>49.32</v>
      </c>
      <c r="L129" t="n">
        <v>50</v>
      </c>
      <c r="M129" t="n">
        <v>-0.756</v>
      </c>
      <c r="N129" t="n">
        <v>50</v>
      </c>
      <c r="O129" t="n">
        <v>18.38</v>
      </c>
      <c r="P129" t="n">
        <v>1.38</v>
      </c>
      <c r="Q129" t="n">
        <v>146.21</v>
      </c>
      <c r="R129" t="n">
        <v>109.928</v>
      </c>
      <c r="S129" t="n">
        <v>3.7</v>
      </c>
      <c r="T129" t="n">
        <v>4164.05</v>
      </c>
      <c r="U129" t="n">
        <v>-0.01</v>
      </c>
      <c r="V129" t="n">
        <v>-0.19</v>
      </c>
    </row>
    <row r="130">
      <c r="A130" t="inlineStr">
        <is>
          <t>2026-10-19 13:43:41</t>
        </is>
      </c>
      <c r="B130" t="n">
        <v>870.5</v>
      </c>
      <c r="C130" t="n">
        <v>4.88</v>
      </c>
      <c r="D130" t="n">
        <v>121.1877334510947</v>
      </c>
      <c r="E130" t="n">
        <v>2.5</v>
      </c>
      <c r="F130" t="n">
        <v>2.78</v>
      </c>
      <c r="G130" t="n">
        <v>101.8203</v>
      </c>
      <c r="H130" t="n">
        <v>0.59</v>
      </c>
      <c r="I130" t="n">
        <v>72.56503642039543</v>
      </c>
      <c r="J130" t="n">
        <v>2.168444292422028</v>
      </c>
      <c r="K130" t="n">
        <v>49.32</v>
      </c>
      <c r="L130" t="n">
        <v>50</v>
      </c>
      <c r="M130" t="n">
        <v>-0.756</v>
      </c>
      <c r="N130" t="n">
        <v>50</v>
      </c>
      <c r="O130" t="n">
        <v>18.38</v>
      </c>
      <c r="P130" t="n">
        <v>1.38</v>
      </c>
      <c r="Q130" t="n">
        <v>146.21</v>
      </c>
      <c r="R130" t="n">
        <v>107.82</v>
      </c>
      <c r="S130" t="n">
        <v>3.7</v>
      </c>
      <c r="T130" t="n">
        <v>4184.1</v>
      </c>
      <c r="U130" t="n">
        <v>-0.01</v>
      </c>
      <c r="V130" t="n">
        <v>0.04</v>
      </c>
    </row>
    <row r="131">
      <c r="A131" t="inlineStr">
        <is>
          <t>2026-10-20 13:39:42</t>
        </is>
      </c>
      <c r="B131" t="n">
        <v>870.5</v>
      </c>
      <c r="C131" t="n">
        <v>4.88</v>
      </c>
      <c r="D131" t="n">
        <v>121.1877334510947</v>
      </c>
      <c r="E131" t="n">
        <v>2.5</v>
      </c>
      <c r="F131" t="n">
        <v>2.74</v>
      </c>
      <c r="G131" t="n">
        <v>101.77</v>
      </c>
      <c r="H131" t="n">
        <v>0.13</v>
      </c>
      <c r="I131" t="n">
        <v>72.13986380303824</v>
      </c>
      <c r="J131" t="n">
        <v>2.14115799620635</v>
      </c>
      <c r="K131" t="n">
        <v>28.24</v>
      </c>
      <c r="L131" t="n">
        <v>50</v>
      </c>
      <c r="M131" t="n">
        <v>-0.67</v>
      </c>
      <c r="N131" t="n">
        <v>50</v>
      </c>
      <c r="O131" t="n">
        <v>17.79</v>
      </c>
      <c r="P131" t="n">
        <v>1.32</v>
      </c>
      <c r="Q131" t="n">
        <v>146.21</v>
      </c>
      <c r="R131" t="n">
        <v>110.041</v>
      </c>
      <c r="S131" t="n">
        <v>3.7</v>
      </c>
      <c r="T131" t="n">
        <v>4131.45</v>
      </c>
      <c r="U131" t="n">
        <v>-0.01</v>
      </c>
      <c r="V131" t="n">
        <v>-0.22</v>
      </c>
    </row>
    <row r="132">
      <c r="A132" t="inlineStr">
        <is>
          <t>2026-10-21 13:43:05</t>
        </is>
      </c>
      <c r="B132" t="n">
        <v>870.5</v>
      </c>
      <c r="C132" t="n">
        <v>4.88</v>
      </c>
      <c r="D132" t="n">
        <v>121.1877334510947</v>
      </c>
      <c r="E132" t="n">
        <v>2.5</v>
      </c>
      <c r="F132" t="n">
        <v>2.8</v>
      </c>
      <c r="G132" t="n">
        <v>101.7911</v>
      </c>
      <c r="H132" t="n">
        <v>0.45</v>
      </c>
      <c r="I132" t="n">
        <v>71.93937805730259</v>
      </c>
      <c r="J132" t="n">
        <v>2.134088953843921</v>
      </c>
      <c r="K132" t="n">
        <v>28.85</v>
      </c>
      <c r="L132" t="n">
        <v>50</v>
      </c>
      <c r="M132" t="n">
        <v>-0.554</v>
      </c>
      <c r="N132" t="n">
        <v>50</v>
      </c>
      <c r="O132" t="n">
        <v>17.57</v>
      </c>
      <c r="P132" t="n">
        <v>1.35</v>
      </c>
      <c r="Q132" t="n">
        <v>146.21</v>
      </c>
      <c r="R132" t="n">
        <v>110.502</v>
      </c>
      <c r="S132" t="n">
        <v>3.7</v>
      </c>
      <c r="T132" t="n">
        <v>4117.81</v>
      </c>
      <c r="U132" t="n">
        <v>-0.01</v>
      </c>
      <c r="V132" t="n">
        <v>0.09</v>
      </c>
    </row>
    <row r="133">
      <c r="A133" t="inlineStr">
        <is>
          <t>2026-10-22 13:45:09</t>
        </is>
      </c>
      <c r="B133" t="n">
        <v>870.5</v>
      </c>
      <c r="C133" t="n">
        <v>4.88</v>
      </c>
      <c r="D133" t="n">
        <v>121.1877334510947</v>
      </c>
      <c r="E133" t="n">
        <v>2.5</v>
      </c>
      <c r="F133" t="n">
        <v>2.77</v>
      </c>
      <c r="G133" t="n">
        <v>101.5592</v>
      </c>
      <c r="H133" t="n">
        <v>0.15</v>
      </c>
      <c r="I133" t="n">
        <v>72.84766672626498</v>
      </c>
      <c r="J133" t="n">
        <v>2.111575815997595</v>
      </c>
      <c r="K133" t="n">
        <v>30.23</v>
      </c>
      <c r="L133" t="n">
        <v>50</v>
      </c>
      <c r="M133" t="n">
        <v>-0.428</v>
      </c>
      <c r="N133" t="n">
        <v>50</v>
      </c>
      <c r="O133" t="n">
        <v>17.39</v>
      </c>
      <c r="P133" t="n">
        <v>1.34</v>
      </c>
      <c r="Q133" t="n">
        <v>146.21</v>
      </c>
      <c r="R133" t="n">
        <v>111.169</v>
      </c>
      <c r="S133" t="n">
        <v>3.7</v>
      </c>
      <c r="T133" t="n">
        <v>4074.37</v>
      </c>
      <c r="U133" t="n">
        <v>-0.01</v>
      </c>
      <c r="V133" t="n">
        <v>-0.14</v>
      </c>
    </row>
    <row r="134">
      <c r="A134" t="inlineStr">
        <is>
          <t>2026-10-23 13:44:04</t>
        </is>
      </c>
      <c r="B134" t="n">
        <v>870.5</v>
      </c>
      <c r="C134" t="n">
        <v>4.88</v>
      </c>
      <c r="D134" t="n">
        <v>121.1877334510947</v>
      </c>
      <c r="E134" t="n">
        <v>2.5</v>
      </c>
      <c r="F134" t="n">
        <v>2.76</v>
      </c>
      <c r="G134" t="n">
        <v>101.684</v>
      </c>
      <c r="H134" t="n">
        <v>-1.06</v>
      </c>
      <c r="I134" t="n">
        <v>73.94434239529758</v>
      </c>
      <c r="J134" t="n">
        <v>2.08626408366761</v>
      </c>
      <c r="K134" t="n">
        <v>29.92</v>
      </c>
      <c r="L134" t="n">
        <v>50</v>
      </c>
      <c r="M134" t="n">
        <v>-0.33</v>
      </c>
      <c r="N134" t="n">
        <v>50</v>
      </c>
      <c r="O134" t="n">
        <v>18.48</v>
      </c>
      <c r="P134" t="n">
        <v>1.51</v>
      </c>
      <c r="Q134" t="n">
        <v>146.21</v>
      </c>
      <c r="R134" t="n">
        <v>114.117</v>
      </c>
      <c r="S134" t="n">
        <v>3.7</v>
      </c>
      <c r="T134" t="n">
        <v>4025.53</v>
      </c>
      <c r="U134" t="n">
        <v>-0.01</v>
      </c>
      <c r="V134" t="n">
        <v>0.06</v>
      </c>
    </row>
    <row r="135">
      <c r="A135" t="inlineStr">
        <is>
          <t>2026-10-24 13:23:01</t>
        </is>
      </c>
      <c r="B135" t="n">
        <v>870.5</v>
      </c>
      <c r="C135" t="n">
        <v>4.88</v>
      </c>
      <c r="D135" t="n">
        <v>121.1877334510947</v>
      </c>
      <c r="E135" t="n">
        <v>2.5</v>
      </c>
      <c r="F135" t="n">
        <v>2.64</v>
      </c>
      <c r="G135" t="n">
        <v>101.752</v>
      </c>
      <c r="H135" t="n">
        <v>-1.22</v>
      </c>
      <c r="I135" t="n">
        <v>74.15674271934706</v>
      </c>
      <c r="J135" t="n">
        <v>2.071887600153405</v>
      </c>
      <c r="K135" t="n">
        <v>56.07</v>
      </c>
      <c r="L135" t="n">
        <v>50</v>
      </c>
      <c r="M135" t="n">
        <v>-0.15</v>
      </c>
      <c r="N135" t="n">
        <v>50</v>
      </c>
      <c r="O135" t="n">
        <v>18.72</v>
      </c>
      <c r="P135" t="n">
        <v>1.47</v>
      </c>
      <c r="Q135" t="n">
        <v>146.21</v>
      </c>
      <c r="R135" t="n">
        <v>112.104</v>
      </c>
      <c r="S135" t="n">
        <v>3.7</v>
      </c>
      <c r="T135" t="n">
        <v>3997.79</v>
      </c>
      <c r="U135" t="n">
        <v>-0.01</v>
      </c>
      <c r="V135" t="n">
        <v>0.13</v>
      </c>
    </row>
    <row r="136">
      <c r="A136" t="inlineStr">
        <is>
          <t>2026-10-25 13:40:53</t>
        </is>
      </c>
      <c r="B136" t="n">
        <v>870.5</v>
      </c>
      <c r="C136" t="n">
        <v>4.88</v>
      </c>
      <c r="D136" t="n">
        <v>121.1877334510947</v>
      </c>
      <c r="E136" t="n">
        <v>2.5</v>
      </c>
      <c r="F136" t="n">
        <v>2.64</v>
      </c>
      <c r="G136" t="n">
        <v>101.752</v>
      </c>
      <c r="H136" t="n">
        <v>-1.22</v>
      </c>
      <c r="I136" t="n">
        <v>74.15674271934706</v>
      </c>
      <c r="J136" t="n">
        <v>2.071887600153405</v>
      </c>
      <c r="K136" t="n">
        <v>56.07</v>
      </c>
      <c r="L136" t="n">
        <v>50</v>
      </c>
      <c r="M136" t="n">
        <v>-0.15</v>
      </c>
      <c r="N136" t="n">
        <v>50</v>
      </c>
      <c r="O136" t="n">
        <v>18.72</v>
      </c>
      <c r="P136" t="n">
        <v>1.47</v>
      </c>
      <c r="Q136" t="n">
        <v>146.21</v>
      </c>
      <c r="R136" t="n">
        <v>112.104</v>
      </c>
      <c r="S136" t="n">
        <v>3.7</v>
      </c>
      <c r="T136" t="n">
        <v>3997.79</v>
      </c>
      <c r="U136" t="n">
        <v>-0.01</v>
      </c>
      <c r="V136" t="n">
        <v>0.13</v>
      </c>
    </row>
    <row r="137">
      <c r="A137" t="inlineStr">
        <is>
          <t>2026-10-26 13:46:08</t>
        </is>
      </c>
      <c r="B137" t="n">
        <v>870.5</v>
      </c>
      <c r="C137" t="n">
        <v>4.88</v>
      </c>
      <c r="D137" t="n">
        <v>121.1877334510947</v>
      </c>
      <c r="E137" t="n">
        <v>2.5</v>
      </c>
      <c r="F137" t="n">
        <v>2.64</v>
      </c>
      <c r="G137" t="n">
        <v>101.7001</v>
      </c>
      <c r="H137" t="n">
        <v>-1.22</v>
      </c>
      <c r="I137" t="n">
        <v>74.04911373707533</v>
      </c>
      <c r="J137" t="n">
        <v>2.078474662354758</v>
      </c>
      <c r="K137" t="n">
        <v>56.07</v>
      </c>
      <c r="L137" t="n">
        <v>50</v>
      </c>
      <c r="M137" t="n">
        <v>-0.15</v>
      </c>
      <c r="N137" t="n">
        <v>50</v>
      </c>
      <c r="O137" t="n">
        <v>18.72</v>
      </c>
      <c r="P137" t="n">
        <v>1.47</v>
      </c>
      <c r="Q137" t="n">
        <v>146.21</v>
      </c>
      <c r="R137" t="n">
        <v>109.763</v>
      </c>
      <c r="S137" t="n">
        <v>3.7</v>
      </c>
      <c r="T137" t="n">
        <v>4010.5</v>
      </c>
      <c r="U137" t="n">
        <v>-0.01</v>
      </c>
      <c r="V137" t="n">
        <v>-0.05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5" sqref="C5"/>
    </sheetView>
  </sheetViews>
  <sheetFormatPr baseColWidth="8" defaultRowHeight="13.5"/>
  <cols>
    <col width="18" customWidth="1" min="1" max="6"/>
  </cols>
  <sheetData>
    <row r="1">
      <c r="A1" t="inlineStr">
        <is>
          <t>引用数据收集表最新一行 (最后一行有数据的行)</t>
        </is>
      </c>
    </row>
    <row r="2">
      <c r="A2" t="inlineStr">
        <is>
          <t>当前引用行: =MAX(IF(数据收集总表!A3:A22&lt;&gt;"",ROW(数据收集总表!A3:A22)))</t>
        </is>
      </c>
    </row>
    <row r="4" ht="15" customHeight="1">
      <c r="A4" s="1" t="inlineStr">
        <is>
          <t>因子</t>
        </is>
      </c>
      <c r="B4" s="1" t="inlineStr">
        <is>
          <t>权重</t>
        </is>
      </c>
      <c r="C4" s="1" t="inlineStr">
        <is>
          <t>当前值</t>
        </is>
      </c>
      <c r="D4" s="1" t="inlineStr">
        <is>
          <t>编码(+1/0/-1)</t>
        </is>
      </c>
      <c r="E4" s="1" t="inlineStr">
        <is>
          <t>得分贡献</t>
        </is>
      </c>
      <c r="F4" s="1" t="inlineStr">
        <is>
          <t>阈值说明</t>
        </is>
      </c>
    </row>
    <row r="5" ht="30" customHeight="1">
      <c r="A5" s="10" t="inlineStr">
        <is>
          <t>央行购金(吨)</t>
        </is>
      </c>
      <c r="B5" s="10" t="inlineStr">
        <is>
          <t>30%</t>
        </is>
      </c>
      <c r="C5" s="10">
        <f>LOOKUP(2,1/(数据收集总表!B3:B31&lt;&gt;""),数据收集总表!B3:B31)</f>
        <v/>
      </c>
      <c r="D5" s="10">
        <f>IF(C5&gt;900,1,IF(C5&gt;=600,0,-1))</f>
        <v/>
      </c>
      <c r="E5" s="10">
        <f>D5*VALUE(SUBSTITUTE(B5,"%",""))/100</f>
        <v/>
      </c>
      <c r="F5" s="10" t="inlineStr">
        <is>
          <t>&gt;900=+1, 600-900=0, &lt;600=-1</t>
        </is>
      </c>
    </row>
    <row r="6" ht="30" customHeight="1">
      <c r="A6" s="10" t="inlineStr">
        <is>
          <t>M2同比增速(%)</t>
        </is>
      </c>
      <c r="B6" s="10" t="inlineStr">
        <is>
          <t>25%</t>
        </is>
      </c>
      <c r="C6" s="10">
        <f>LOOKUP(2,1/(数据收集总表!C3:C31&lt;&gt;""),数据收集总表!C3:C31)</f>
        <v/>
      </c>
      <c r="D6" s="10">
        <f>IF(C6&gt;6,1,IF(C6&gt;=0,0,-1))</f>
        <v/>
      </c>
      <c r="E6" s="10">
        <f>D6*VALUE(SUBSTITUTE(B6,"%",""))/100</f>
        <v/>
      </c>
      <c r="F6" s="10" t="inlineStr">
        <is>
          <t>&gt;6%=+1, 0%-6%=0, &lt;0%=-1</t>
        </is>
      </c>
    </row>
    <row r="7" ht="30" customHeight="1">
      <c r="A7" s="10" t="inlineStr">
        <is>
          <t>美债/GDP比率(%)</t>
        </is>
      </c>
      <c r="B7" s="10" t="inlineStr">
        <is>
          <t>15%</t>
        </is>
      </c>
      <c r="C7" s="10">
        <f>LOOKUP(2,1/(数据收集总表!D3:D31&lt;&gt;""),数据收集总表!D3:D31)</f>
        <v/>
      </c>
      <c r="D7" s="10">
        <f>IF(C7&gt;120,1,IF(C7&gt;=100,0,-1))</f>
        <v/>
      </c>
      <c r="E7" s="10">
        <f>D7*VALUE(SUBSTITUTE(B7,"%",""))/100</f>
        <v/>
      </c>
      <c r="F7" s="10" t="inlineStr">
        <is>
          <t>&gt;120%=+1, 100%-120%=0, &lt;100%=-1</t>
        </is>
      </c>
    </row>
    <row r="8" ht="30" customHeight="1">
      <c r="A8" s="10" t="inlineStr">
        <is>
          <t>Fed预期差(bp)</t>
        </is>
      </c>
      <c r="B8" s="10" t="inlineStr">
        <is>
          <t>15%</t>
        </is>
      </c>
      <c r="C8" s="10">
        <f>LOOKUP(2,1/(数据收集总表!E3:E31&lt;&gt;""),数据收集总表!E3:E31)</f>
        <v/>
      </c>
      <c r="D8" s="10">
        <f>IF(C8&gt;50,1,IF(C8&lt;-50,-1,0))</f>
        <v/>
      </c>
      <c r="E8" s="10">
        <f>D8*VALUE(SUBSTITUTE(B8,"%",""))/100</f>
        <v/>
      </c>
      <c r="F8" s="10" t="inlineStr">
        <is>
          <t>降息&gt;50bp=+1, 中间=0, 加息=-1</t>
        </is>
      </c>
    </row>
    <row r="9" ht="45" customHeight="1">
      <c r="A9" s="10" t="inlineStr">
        <is>
          <t>10Y TIPS(%)</t>
        </is>
      </c>
      <c r="B9" s="10" t="inlineStr">
        <is>
          <t>10%</t>
        </is>
      </c>
      <c r="C9" s="10">
        <f>LOOKUP(2,1/(数据收集总表!F3:F31&lt;&gt;""),数据收集总表!F3:F31)</f>
        <v/>
      </c>
      <c r="D9" s="10">
        <f>IF(C9&lt;-0.5,1,IF(C9&lt;=1.5,0,-1))</f>
        <v/>
      </c>
      <c r="E9" s="10">
        <f>D9*VALUE(SUBSTITUTE(B9,"%",""))/100</f>
        <v/>
      </c>
      <c r="F9" s="10" t="inlineStr">
        <is>
          <t>&lt;-0.5%=+1, -0.5%~1.5%=0, &gt;1.5%=-1</t>
        </is>
      </c>
    </row>
    <row r="10" ht="30" customHeight="1">
      <c r="A10" s="10" t="inlineStr">
        <is>
          <t>DXY</t>
        </is>
      </c>
      <c r="B10" s="10" t="inlineStr">
        <is>
          <t>5%</t>
        </is>
      </c>
      <c r="C10" s="10">
        <f>LOOKUP(2,1/(数据收集总表!G3:G31&lt;&gt;""),数据收集总表!G3:G31)</f>
        <v/>
      </c>
      <c r="D10" s="10">
        <f>IF(C10&lt;95,1,IF(C10&lt;=105,0,-1))</f>
        <v/>
      </c>
      <c r="E10" s="10">
        <f>D10*VALUE(SUBSTITUTE(B10,"%",""))/100</f>
        <v/>
      </c>
      <c r="F10" s="10" t="inlineStr">
        <is>
          <t>&lt;95=+1, 95-105=0, &gt;105=-1</t>
        </is>
      </c>
    </row>
    <row r="11" ht="15" customHeight="1">
      <c r="A11" s="11" t="inlineStr">
        <is>
          <t>S_macro 合计</t>
        </is>
      </c>
      <c r="B11" s="10" t="inlineStr">
        <is>
          <t>100%</t>
        </is>
      </c>
      <c r="C11" s="10" t="n"/>
      <c r="D11" s="10" t="n"/>
      <c r="E11" s="10">
        <f>SUM(E5:E10)</f>
        <v/>
      </c>
      <c r="F11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3.5"/>
  <cols>
    <col width="20" customWidth="1" min="1" max="6"/>
  </cols>
  <sheetData>
    <row r="1" ht="15" customHeight="1">
      <c r="A1" s="1" t="inlineStr">
        <is>
          <t>因子</t>
        </is>
      </c>
      <c r="B1" s="1" t="inlineStr">
        <is>
          <t>权重</t>
        </is>
      </c>
      <c r="C1" s="1" t="inlineStr">
        <is>
          <t>当前值</t>
        </is>
      </c>
      <c r="D1" s="1" t="inlineStr">
        <is>
          <t>得分(0-100)</t>
        </is>
      </c>
      <c r="E1" s="1" t="inlineStr">
        <is>
          <t>加权得分</t>
        </is>
      </c>
      <c r="F1" s="1" t="inlineStr">
        <is>
          <t>得分规则</t>
        </is>
      </c>
    </row>
    <row r="2" ht="30" customHeight="1">
      <c r="A2" s="10" t="inlineStr">
        <is>
          <t>ETF持仓4周变化(%)</t>
        </is>
      </c>
      <c r="B2" s="10" t="inlineStr">
        <is>
          <t>40%</t>
        </is>
      </c>
      <c r="C2" s="10">
        <f>LOOKUP(2,1/(数据收集总表!H3:H31&lt;&gt;""),数据收集总表!H3:H31)</f>
        <v/>
      </c>
      <c r="D2" s="10">
        <f>IF(C2&gt;=2,100,IF(C2&lt;=-2,0,(C2+2)*25))</f>
        <v/>
      </c>
      <c r="E2" s="10">
        <f>D2*VALUE(SUBSTITUTE(B2,"%",""))/100</f>
        <v/>
      </c>
      <c r="F2" s="10" t="inlineStr">
        <is>
          <t>≥+2%=100, ≤-2%=0, 线性插值</t>
        </is>
      </c>
    </row>
    <row r="3" ht="30" customHeight="1">
      <c r="A3" s="10" t="inlineStr">
        <is>
          <t>金银比</t>
        </is>
      </c>
      <c r="B3" s="10" t="inlineStr">
        <is>
          <t>35%</t>
        </is>
      </c>
      <c r="C3" s="10">
        <f>LOOKUP(2,1/(数据收集总表!I3:I31&lt;&gt;""),数据收集总表!I3:I31)</f>
        <v/>
      </c>
      <c r="D3" s="10">
        <f>IF(C3&lt;=60,100,IF(C3&gt;=100,0,(100-C3)*2.5))</f>
        <v/>
      </c>
      <c r="E3" s="10">
        <f>D3*VALUE(SUBSTITUTE(B3,"%",""))/100</f>
        <v/>
      </c>
      <c r="F3" s="10" t="inlineStr">
        <is>
          <t>≤60=100, ≥100=0, 线性插值</t>
        </is>
      </c>
    </row>
    <row r="4" ht="30" customHeight="1">
      <c r="A4" s="10" t="inlineStr">
        <is>
          <t>金价/AISC</t>
        </is>
      </c>
      <c r="B4" s="10" t="inlineStr">
        <is>
          <t>25%</t>
        </is>
      </c>
      <c r="C4" s="10">
        <f>LOOKUP(2,1/(数据收集总表!J3:J31&lt;&gt;""),数据收集总表!J3:J31)</f>
        <v/>
      </c>
      <c r="D4" s="10">
        <f>IF(C4&lt;=1.5,100,IF(C4&gt;=2.5,0,(2.5-C4)*100))</f>
        <v/>
      </c>
      <c r="E4" s="10">
        <f>D4*VALUE(SUBSTITUTE(B4,"%",""))/100</f>
        <v/>
      </c>
      <c r="F4" s="10" t="inlineStr">
        <is>
          <t>≤1.5=100, ≥2.5=0, 线性插值</t>
        </is>
      </c>
    </row>
    <row r="5" ht="15" customHeight="1">
      <c r="A5" s="11" t="inlineStr">
        <is>
          <t>验证层总分 V</t>
        </is>
      </c>
      <c r="B5" s="10" t="n"/>
      <c r="C5" s="10" t="n"/>
      <c r="D5" s="10">
        <f>SUM(E2:E4)</f>
        <v/>
      </c>
      <c r="E5" s="10" t="n"/>
      <c r="F5" s="10" t="n"/>
    </row>
    <row r="6" ht="15" customHeight="1">
      <c r="A6" s="11" t="inlineStr">
        <is>
          <t>K_verif</t>
        </is>
      </c>
      <c r="B6" s="10" t="n"/>
      <c r="C6" s="10" t="n"/>
      <c r="D6" s="10">
        <f>D5/100+0.5</f>
        <v/>
      </c>
      <c r="E6" s="10" t="n"/>
      <c r="F6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3.5"/>
  <cols>
    <col width="20" customWidth="1" min="1" max="6"/>
  </cols>
  <sheetData>
    <row r="1" ht="15" customHeight="1">
      <c r="A1" s="1" t="inlineStr">
        <is>
          <t>因子</t>
        </is>
      </c>
      <c r="B1" s="1" t="inlineStr">
        <is>
          <t>权重</t>
        </is>
      </c>
      <c r="C1" s="1" t="inlineStr">
        <is>
          <t>当前值</t>
        </is>
      </c>
      <c r="D1" s="1" t="inlineStr">
        <is>
          <t>得分(0-100)</t>
        </is>
      </c>
      <c r="E1" s="1" t="inlineStr">
        <is>
          <t>加权得分</t>
        </is>
      </c>
      <c r="F1" s="1" t="inlineStr">
        <is>
          <t>得分规则</t>
        </is>
      </c>
    </row>
    <row r="2" ht="30" customHeight="1">
      <c r="A2" s="10" t="inlineStr">
        <is>
          <t>RSI14</t>
        </is>
      </c>
      <c r="B2" s="10" t="inlineStr">
        <is>
          <t>30%</t>
        </is>
      </c>
      <c r="C2" s="10">
        <f>LOOKUP(2,1/(数据收集总表!K3:K31&lt;&gt;""),数据收集总表!K3:K31)</f>
        <v/>
      </c>
      <c r="D2" s="10">
        <f>IF(C2&lt;=30,100,IF(C2&gt;=70,0,(70-C2)*2.5))</f>
        <v/>
      </c>
      <c r="E2" s="10">
        <f>D2*VALUE(SUBSTITUTE(B2,"%",""))/100</f>
        <v/>
      </c>
      <c r="F2" s="10" t="inlineStr">
        <is>
          <t>≤30=100, 30-70递减, ≥70=0</t>
        </is>
      </c>
    </row>
    <row r="3" ht="30" customHeight="1">
      <c r="A3" s="10" t="inlineStr">
        <is>
          <t>MACD背离</t>
        </is>
      </c>
      <c r="B3" s="10" t="inlineStr">
        <is>
          <t>25%</t>
        </is>
      </c>
      <c r="C3" s="10">
        <f>LOOKUP(2,1/(数据收集总表!L3:L31&lt;&gt;""),数据收集总表!L3:L31)</f>
        <v/>
      </c>
      <c r="D3" s="10">
        <f>C3</f>
        <v/>
      </c>
      <c r="E3" s="10">
        <f>D3*VALUE(SUBSTITUTE(B3,"%",""))/100</f>
        <v/>
      </c>
      <c r="F3" s="10" t="inlineStr">
        <is>
          <t>底背离=100, 无=50, 顶背离=0</t>
        </is>
      </c>
    </row>
    <row r="4" ht="30" customHeight="1">
      <c r="A4" s="10" t="inlineStr">
        <is>
          <t>20日均线斜率(%)</t>
        </is>
      </c>
      <c r="B4" s="10" t="inlineStr">
        <is>
          <t>25%</t>
        </is>
      </c>
      <c r="C4" s="10">
        <f>LOOKUP(2,1/(数据收集总表!M3:M31&lt;&gt;""),数据收集总表!M3:M31)</f>
        <v/>
      </c>
      <c r="D4" s="10">
        <f>IF(C4&gt;=0.5,100,IF(C4&lt;=-0.5,0,(C4+0.5)*100))</f>
        <v/>
      </c>
      <c r="E4" s="10">
        <f>D4*VALUE(SUBSTITUTE(B4,"%",""))/100</f>
        <v/>
      </c>
      <c r="F4" s="10" t="inlineStr">
        <is>
          <t>≥+0.5%=100, ≤-0.5%=0, 线性插值</t>
        </is>
      </c>
    </row>
    <row r="5" ht="45" customHeight="1">
      <c r="A5" s="10" t="inlineStr">
        <is>
          <t>布林带状态</t>
        </is>
      </c>
      <c r="B5" s="10" t="inlineStr">
        <is>
          <t>20%</t>
        </is>
      </c>
      <c r="C5" s="10">
        <f>LOOKUP(2,1/(数据收集总表!N3:N31&lt;&gt;""),数据收集总表!N3:N31)</f>
        <v/>
      </c>
      <c r="D5" s="10">
        <f>C5</f>
        <v/>
      </c>
      <c r="E5" s="10">
        <f>D5*VALUE(SUBSTITUTE(B5,"%",""))/100</f>
        <v/>
      </c>
      <c r="F5" s="10" t="inlineStr">
        <is>
          <t>触下轨扩口=100, 触上轨扩口=0, 其他=50</t>
        </is>
      </c>
    </row>
    <row r="6" ht="15" customHeight="1">
      <c r="A6" s="11" t="inlineStr">
        <is>
          <t>趋势层总分 T</t>
        </is>
      </c>
      <c r="B6" s="10" t="n"/>
      <c r="C6" s="10" t="n"/>
      <c r="D6" s="10">
        <f>SUM(E2:E5)</f>
        <v/>
      </c>
      <c r="E6" s="10" t="n"/>
      <c r="F6" s="10" t="n"/>
    </row>
    <row r="7" ht="15" customHeight="1">
      <c r="A7" s="11" t="inlineStr">
        <is>
          <t>K_trend</t>
        </is>
      </c>
      <c r="B7" s="10" t="n"/>
      <c r="C7" s="10" t="n"/>
      <c r="D7" s="10">
        <f>1+(D6/100-0.5)*0.4</f>
        <v/>
      </c>
      <c r="E7" s="10" t="n"/>
      <c r="F7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L7" sqref="L7"/>
    </sheetView>
  </sheetViews>
  <sheetFormatPr baseColWidth="8" defaultRowHeight="13.5"/>
  <cols>
    <col width="20" customWidth="1" min="1" max="5"/>
  </cols>
  <sheetData>
    <row r="1" ht="15.75" customHeight="1">
      <c r="A1" s="12" t="inlineStr">
        <is>
          <t>K_liquidity 计算</t>
        </is>
      </c>
    </row>
    <row r="3">
      <c r="A3" s="13" t="inlineStr">
        <is>
          <t>当前VIX</t>
        </is>
      </c>
      <c r="B3" s="14">
        <f>LOOKUP(2,1/(数据收集总表!O3:O31&lt;&gt;""),数据收集总表!O3:O31)</f>
        <v/>
      </c>
    </row>
    <row r="4">
      <c r="A4" s="13" t="inlineStr">
        <is>
          <t>当前信用利差(%)</t>
        </is>
      </c>
      <c r="B4" s="14">
        <f>LOOKUP(2,1/(数据收集总表!P3:P31&lt;&gt;""),数据收集总表!P3:P31)</f>
        <v/>
      </c>
    </row>
    <row r="5">
      <c r="A5" s="13" t="inlineStr">
        <is>
          <t>K_liquidity</t>
        </is>
      </c>
      <c r="B5" s="14">
        <f>IF(B3&gt;=35,0.5,IF(B3&gt;=25,IF(B4&gt;=3,0.7,0.8),IF(B3&gt;=15,IF(B4&gt;=3,0.9,1),IF(B4&gt;=3,1,1.2))))</f>
        <v/>
      </c>
    </row>
    <row r="8" ht="15.75" customHeight="1">
      <c r="A8" s="12" t="inlineStr">
        <is>
          <t>K_geo 计算</t>
        </is>
      </c>
    </row>
    <row r="10">
      <c r="A10" s="13" t="inlineStr">
        <is>
          <t>当前GPR</t>
        </is>
      </c>
      <c r="B10" s="13">
        <f>LOOKUP(2,1/(数据收集总表!Q3:Q31&lt;&gt;""),数据收集总表!Q3:Q31)</f>
        <v/>
      </c>
      <c r="C10" t="n">
        <v>120</v>
      </c>
      <c r="D10" t="n">
        <v>100</v>
      </c>
    </row>
    <row r="11">
      <c r="A11" s="13" t="inlineStr">
        <is>
          <t>当前布油($)</t>
        </is>
      </c>
      <c r="B11" s="13">
        <f>LOOKUP(2,1/(数据收集总表!R3:R31&lt;&gt;""),数据收集总表!R3:R31)</f>
        <v/>
      </c>
      <c r="C11" t="n">
        <v>120</v>
      </c>
      <c r="D11" t="n">
        <v>100</v>
      </c>
    </row>
    <row r="12">
      <c r="A12" s="13" t="inlineStr">
        <is>
          <t>当前CPI(%)</t>
        </is>
      </c>
      <c r="B12" s="13">
        <f>LOOKUP(2,1/(数据收集总表!S3:S31&lt;&gt;""),数据收集总表!S3:S31)</f>
        <v/>
      </c>
    </row>
    <row r="13">
      <c r="A13" s="13" t="inlineStr">
        <is>
          <t>Fed编码</t>
        </is>
      </c>
      <c r="B13" s="13">
        <f>宏观信号计算表!D8</f>
        <v/>
      </c>
    </row>
    <row r="14">
      <c r="A14" s="13" t="n"/>
      <c r="B14" s="13" t="n"/>
    </row>
    <row r="15">
      <c r="A15" s="13" t="inlineStr">
        <is>
          <t>K_geo</t>
        </is>
      </c>
      <c r="B15" s="14">
        <f>IF(B10&gt;C10,IF(B11&gt;C11,IF(B12&gt;4,1.2,IF(B13=-1,0.95,1.1)),IF(B11&gt;D11,IF(B13=-1,0.95,1.1),1.1)),IF(B10&gt;D10,IF(B11&gt;C11,IF(B12&gt;4,1,IF(B13=-1,0.98,1.05)),IF(B11&gt;D11,IF(B13=-1,0.98,1.05),1.05)),1))</f>
        <v/>
      </c>
    </row>
    <row r="18">
      <c r="A18" t="inlineStr">
        <is>
          <t>K_geo 查表矩阵 (参考)</t>
        </is>
      </c>
    </row>
    <row r="19" ht="30" customHeight="1">
      <c r="A19" s="1" t="inlineStr">
        <is>
          <t>GPR连续3月</t>
        </is>
      </c>
      <c r="B19" s="1" t="inlineStr">
        <is>
          <t>布油&gt;$120+CPI&gt;4%</t>
        </is>
      </c>
      <c r="C19" s="1" t="inlineStr">
        <is>
          <t>布油$100-120+Fed=-1</t>
        </is>
      </c>
      <c r="D19" s="1" t="inlineStr">
        <is>
          <t>布油$100-120+Fed=0/+1</t>
        </is>
      </c>
      <c r="E19" s="1" t="inlineStr">
        <is>
          <t>布油&lt;$100</t>
        </is>
      </c>
    </row>
    <row r="20">
      <c r="A20" s="10" t="inlineStr">
        <is>
          <t>&gt;120</t>
        </is>
      </c>
      <c r="B20" s="10" t="inlineStr">
        <is>
          <t>1.20</t>
        </is>
      </c>
      <c r="C20" s="10" t="inlineStr">
        <is>
          <t>0.95</t>
        </is>
      </c>
      <c r="D20" s="10" t="inlineStr">
        <is>
          <t>1.10</t>
        </is>
      </c>
      <c r="E20" s="10" t="inlineStr">
        <is>
          <t>1.10</t>
        </is>
      </c>
    </row>
    <row r="21">
      <c r="A21" s="10" t="inlineStr">
        <is>
          <t>100-120</t>
        </is>
      </c>
      <c r="B21" s="10" t="inlineStr">
        <is>
          <t>—</t>
        </is>
      </c>
      <c r="C21" s="10" t="inlineStr">
        <is>
          <t>0.98</t>
        </is>
      </c>
      <c r="D21" s="10" t="inlineStr">
        <is>
          <t>1.05</t>
        </is>
      </c>
      <c r="E21" s="10" t="inlineStr">
        <is>
          <t>1.05</t>
        </is>
      </c>
    </row>
    <row r="22">
      <c r="A22" s="10" t="inlineStr">
        <is>
          <t>≤100</t>
        </is>
      </c>
      <c r="B22" s="10" t="inlineStr">
        <is>
          <t>1.00</t>
        </is>
      </c>
      <c r="C22" s="10" t="inlineStr">
        <is>
          <t>1.00</t>
        </is>
      </c>
      <c r="D22" s="10" t="inlineStr">
        <is>
          <t>1.00</t>
        </is>
      </c>
      <c r="E22" s="10" t="inlineStr">
        <is>
          <t>1.00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B23" sqref="B23"/>
    </sheetView>
  </sheetViews>
  <sheetFormatPr baseColWidth="8" defaultRowHeight="13.5"/>
  <cols>
    <col width="18" customWidth="1" min="1" max="4"/>
  </cols>
  <sheetData>
    <row r="1" ht="15.75" customHeight="1">
      <c r="A1" s="12" t="inlineStr">
        <is>
          <t>最终信号生成</t>
        </is>
      </c>
    </row>
    <row r="3" ht="15" customHeight="1">
      <c r="A3" s="1" t="inlineStr">
        <is>
          <t>计算步骤</t>
        </is>
      </c>
      <c r="B3" s="1" t="inlineStr">
        <is>
          <t>因子</t>
        </is>
      </c>
      <c r="C3" s="1" t="inlineStr">
        <is>
          <t>数值</t>
        </is>
      </c>
      <c r="D3" s="1" t="inlineStr">
        <is>
          <t>公式说明</t>
        </is>
      </c>
    </row>
    <row r="4">
      <c r="A4" s="10" t="inlineStr">
        <is>
          <t>第1步</t>
        </is>
      </c>
      <c r="B4" s="10" t="inlineStr">
        <is>
          <t>S_macro</t>
        </is>
      </c>
      <c r="C4" s="10">
        <f>宏观信号计算表!E11</f>
        <v/>
      </c>
      <c r="D4" s="10" t="inlineStr">
        <is>
          <t>宏观驱动信号</t>
        </is>
      </c>
    </row>
    <row r="5">
      <c r="A5" s="10" t="inlineStr">
        <is>
          <t>第2步</t>
        </is>
      </c>
      <c r="B5" s="10" t="inlineStr">
        <is>
          <t>K_verif</t>
        </is>
      </c>
      <c r="C5" s="10">
        <f>验证层计算表!D6</f>
        <v/>
      </c>
      <c r="D5" s="10" t="inlineStr">
        <is>
          <t>市场验证乘数</t>
        </is>
      </c>
    </row>
    <row r="6">
      <c r="A6" s="10" t="inlineStr">
        <is>
          <t>第3步</t>
        </is>
      </c>
      <c r="B6" s="10" t="inlineStr">
        <is>
          <t>K_trend</t>
        </is>
      </c>
      <c r="C6" s="10">
        <f>趋势层计算表!D7</f>
        <v/>
      </c>
      <c r="D6" s="10" t="inlineStr">
        <is>
          <t>趋势动量乘数</t>
        </is>
      </c>
    </row>
    <row r="7">
      <c r="A7" s="10" t="inlineStr">
        <is>
          <t>第4步</t>
        </is>
      </c>
      <c r="B7" s="10" t="inlineStr">
        <is>
          <t>K_liquidity</t>
        </is>
      </c>
      <c r="C7" s="10">
        <f>流动性地缘乘数表!B5</f>
        <v/>
      </c>
      <c r="D7" s="10" t="inlineStr">
        <is>
          <t>流动性乘数</t>
        </is>
      </c>
    </row>
    <row r="8">
      <c r="A8" s="10" t="inlineStr">
        <is>
          <t>第5步</t>
        </is>
      </c>
      <c r="B8" s="10" t="inlineStr">
        <is>
          <t>K_geo</t>
        </is>
      </c>
      <c r="C8" s="10">
        <f>流动性地缘乘数表!B15</f>
        <v/>
      </c>
      <c r="D8" s="10" t="inlineStr">
        <is>
          <t>地缘乘数</t>
        </is>
      </c>
    </row>
    <row r="9">
      <c r="A9" s="10" t="inlineStr">
        <is>
          <t>第6步</t>
        </is>
      </c>
      <c r="B9" s="10" t="inlineStr">
        <is>
          <t>原始信号</t>
        </is>
      </c>
      <c r="C9" s="25">
        <f>C4*C5*C6*C7*C8</f>
        <v/>
      </c>
      <c r="D9" s="10" t="inlineStr">
        <is>
          <t>五项相乘</t>
        </is>
      </c>
    </row>
    <row r="10">
      <c r="A10" s="10" t="inlineStr">
        <is>
          <t>第7步</t>
        </is>
      </c>
      <c r="B10" s="10" t="inlineStr">
        <is>
          <t>强制规则检查</t>
        </is>
      </c>
      <c r="C10" s="10">
        <f>IF(强制规则检查表!E2&lt;&gt;"","触发",IF(强制规则检查表!E3&lt;&gt;"","触发",IF(强制规则检查表!E4&lt;&gt;"","触发",IF(强制规则检查表!E5&lt;&gt;"","触发","未触发"))))</f>
        <v/>
      </c>
      <c r="D10" s="10" t="inlineStr">
        <is>
          <t>见工作表7</t>
        </is>
      </c>
    </row>
    <row r="11">
      <c r="A11" s="10" t="inlineStr">
        <is>
          <t>第8步</t>
        </is>
      </c>
      <c r="B11" s="10" t="inlineStr">
        <is>
          <t>最终信号</t>
        </is>
      </c>
      <c r="C11" s="25">
        <f>IF(强制规则检查表!E2&lt;&gt;"",强制规则检查表!D2,IF(强制规则检查表!E3&lt;&gt;"",强制规则检查表!D3,IF(强制规则检查表!E4&lt;&gt;"",强制规则检查表!D4,IF(强制规则检查表!E5&lt;&gt;"",强制规则检查表!D5,C9))))</f>
        <v/>
      </c>
      <c r="D11" s="10" t="inlineStr">
        <is>
          <t>强制规则覆盖</t>
        </is>
      </c>
    </row>
    <row r="14" ht="15" customHeight="1">
      <c r="A14" s="1" t="inlineStr">
        <is>
          <t>信号等级</t>
        </is>
      </c>
      <c r="B14" s="1" t="inlineStr">
        <is>
          <t>仓位建议</t>
        </is>
      </c>
      <c r="C14" s="1" t="inlineStr">
        <is>
          <t>信号范围</t>
        </is>
      </c>
    </row>
    <row r="15">
      <c r="A15" s="10" t="inlineStr">
        <is>
          <t>🔥 强力看多</t>
        </is>
      </c>
      <c r="B15" s="10" t="inlineStr">
        <is>
          <t>16%-20%</t>
        </is>
      </c>
      <c r="C15" s="10" t="inlineStr">
        <is>
          <t>≥+0.60</t>
        </is>
      </c>
    </row>
    <row r="16">
      <c r="A16" s="10" t="inlineStr">
        <is>
          <t>✅ 看多</t>
        </is>
      </c>
      <c r="B16" s="10" t="inlineStr">
        <is>
          <t>9%-16%</t>
        </is>
      </c>
      <c r="C16" s="10" t="inlineStr">
        <is>
          <t>+0.35~+0.60</t>
        </is>
      </c>
    </row>
    <row r="17">
      <c r="A17" s="10" t="inlineStr">
        <is>
          <t>🟡 偏多</t>
        </is>
      </c>
      <c r="B17" s="10" t="inlineStr">
        <is>
          <t>6%-9%</t>
        </is>
      </c>
      <c r="C17" s="10" t="inlineStr">
        <is>
          <t>+0.15~+0.35</t>
        </is>
      </c>
    </row>
    <row r="18">
      <c r="A18" s="10" t="inlineStr">
        <is>
          <t>⚪ 中性</t>
        </is>
      </c>
      <c r="B18" s="10" t="inlineStr">
        <is>
          <t>3%-6%</t>
        </is>
      </c>
      <c r="C18" s="10" t="inlineStr">
        <is>
          <t>-0.15~+0.15</t>
        </is>
      </c>
    </row>
    <row r="19">
      <c r="A19" s="10" t="inlineStr">
        <is>
          <t>🟠 偏空</t>
        </is>
      </c>
      <c r="B19" s="10" t="inlineStr">
        <is>
          <t>1%-30%</t>
        </is>
      </c>
      <c r="C19" s="10" t="inlineStr">
        <is>
          <t>-0.35~-0.15</t>
        </is>
      </c>
    </row>
    <row r="20">
      <c r="A20" s="10" t="inlineStr">
        <is>
          <t>🔴 看空</t>
        </is>
      </c>
      <c r="B20" s="10" t="inlineStr">
        <is>
          <t>0%-1%</t>
        </is>
      </c>
      <c r="C20" s="10" t="inlineStr">
        <is>
          <t>≤-0.35</t>
        </is>
      </c>
    </row>
    <row r="22" ht="15" customHeight="1">
      <c r="A22" s="15" t="inlineStr">
        <is>
          <t>当前信号等级:</t>
        </is>
      </c>
      <c r="B22">
        <f>IF(C11&gt;=0.6,"🔥 强力看多",IF(C11&gt;=0.35,"✅ 看多",IF(C11&gt;=0.15,"🟡 偏多",IF(C11&gt;=-0.15,"⚪ 中性",IF(C11&gt;=-0.35,"🟠 偏空","🔴 看空")))))</f>
        <v/>
      </c>
    </row>
    <row r="23" ht="15" customHeight="1">
      <c r="A23" s="15" t="inlineStr">
        <is>
          <t>建议仓位:</t>
        </is>
      </c>
      <c r="B23" s="20">
        <f>IF(C11&gt;=0.6,B15,IF(C11&gt;=0.35,B16,IF(C11&gt;=0.15,B17,IF(C11&gt;=-0.15,B18,IF(C11&gt;=-0.35,B19,B20)))))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3.5"/>
  <cols>
    <col width="22" customWidth="1" min="1" max="5"/>
  </cols>
  <sheetData>
    <row r="1" ht="15" customHeight="1">
      <c r="A1" s="1" t="inlineStr">
        <is>
          <t>规则ID</t>
        </is>
      </c>
      <c r="B1" s="1" t="inlineStr">
        <is>
          <t>触发条件</t>
        </is>
      </c>
      <c r="C1" s="1" t="inlineStr">
        <is>
          <t>判断公式</t>
        </is>
      </c>
      <c r="D1" s="1" t="inlineStr">
        <is>
          <t>强制动作</t>
        </is>
      </c>
      <c r="E1" s="1" t="inlineStr">
        <is>
          <t>是否触发</t>
        </is>
      </c>
    </row>
    <row r="2" ht="30" customHeight="1">
      <c r="A2" s="10" t="inlineStr">
        <is>
          <t>OR-03</t>
        </is>
      </c>
      <c r="B2" s="10" t="inlineStr">
        <is>
          <t>VIX≥35 且 黄金-1%美元+0.5%</t>
        </is>
      </c>
      <c r="C2" s="10">
        <f>AND(流动性地缘乘数表!B3&gt;=35,LOOKUP(2,1/(数据收集总表!U3:U31&lt;&gt;""),数据收集总表!U3:U31)&lt;=-0.01,LOOKUP(2,1/(数据收集总表!V3:V31&lt;&gt;""),数据收集总表!V3:V31)&gt;=0.005)</f>
        <v/>
      </c>
      <c r="D2" s="10" t="n">
        <v>-0.5</v>
      </c>
      <c r="E2" s="10">
        <f>IF(C2=TRUE,D2,"")</f>
        <v/>
      </c>
    </row>
    <row r="3">
      <c r="A3" s="10" t="inlineStr">
        <is>
          <t>OR-01</t>
        </is>
      </c>
      <c r="B3" s="10" t="inlineStr">
        <is>
          <t>趋势层总分&lt;20</t>
        </is>
      </c>
      <c r="C3" s="10">
        <f>趋势层计算表!D6&lt;20</f>
        <v/>
      </c>
      <c r="D3" s="10" t="n">
        <v>-0.2</v>
      </c>
      <c r="E3" s="10">
        <f>IF(C3=TRUE,D3,"")</f>
        <v/>
      </c>
    </row>
    <row r="4">
      <c r="A4" s="10" t="inlineStr">
        <is>
          <t>OR-02</t>
        </is>
      </c>
      <c r="B4" s="10" t="inlineStr">
        <is>
          <t>趋势层总分&gt;80</t>
        </is>
      </c>
      <c r="C4" s="10">
        <f>趋势层计算表!D6&gt;80</f>
        <v/>
      </c>
      <c r="D4" s="10" t="n">
        <v>0.3</v>
      </c>
      <c r="E4" s="10">
        <f>IF(C4=TRUE,D4,"")</f>
        <v/>
      </c>
    </row>
    <row r="5">
      <c r="A5" s="10" t="inlineStr">
        <is>
          <t>结构牛底线</t>
        </is>
      </c>
      <c r="B5" s="10" t="inlineStr">
        <is>
          <t>连续两季购金&gt;300吨</t>
        </is>
      </c>
      <c r="C5" s="10">
        <f>FALSE</f>
        <v/>
      </c>
      <c r="D5" s="10" t="n">
        <v>0.15</v>
      </c>
      <c r="E5" s="10">
        <f>IF(C5=TRUE,D5,"")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D35" sqref="D35"/>
    </sheetView>
  </sheetViews>
  <sheetFormatPr baseColWidth="8" defaultRowHeight="13.5"/>
  <cols>
    <col width="14" customWidth="1" min="1" max="8"/>
  </cols>
  <sheetData>
    <row r="1" ht="15" customHeight="1">
      <c r="A1" s="1" t="inlineStr">
        <is>
          <t>日期</t>
        </is>
      </c>
      <c r="B1" s="1" t="inlineStr">
        <is>
          <t>操作类型</t>
        </is>
      </c>
      <c r="C1" s="1" t="inlineStr">
        <is>
          <t>数据项</t>
        </is>
      </c>
      <c r="D1" s="1" t="inlineStr">
        <is>
          <t>原值</t>
        </is>
      </c>
      <c r="E1" s="1" t="inlineStr">
        <is>
          <t>新值</t>
        </is>
      </c>
      <c r="F1" s="1" t="inlineStr">
        <is>
          <t>信号变化前</t>
        </is>
      </c>
      <c r="G1" s="1" t="inlineStr">
        <is>
          <t>信号变化后</t>
        </is>
      </c>
      <c r="H1" s="1" t="inlineStr">
        <is>
          <t>备注</t>
        </is>
      </c>
    </row>
    <row r="2">
      <c r="A2" s="17" t="n"/>
      <c r="B2" s="17" t="n"/>
      <c r="C2" s="17" t="n"/>
      <c r="D2" s="17" t="n"/>
      <c r="E2" s="17" t="n"/>
      <c r="F2" s="13" t="n"/>
      <c r="G2" s="13" t="n"/>
      <c r="H2" s="13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</row>
    <row r="4">
      <c r="A4" s="21" t="n"/>
      <c r="B4" s="13" t="n"/>
      <c r="C4" s="13" t="n"/>
      <c r="D4" s="13" t="n"/>
      <c r="E4" s="13" t="n"/>
      <c r="F4" s="13" t="n"/>
      <c r="G4" s="13" t="n"/>
      <c r="H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2026-04-27T06:48:31Z</dcterms:created>
  <dcterms:modified xmlns:dcterms="http://purl.org/dc/terms/" xmlns:xsi="http://www.w3.org/2001/XMLSchema-instance" xsi:type="dcterms:W3CDTF">2026-10-26T05:50:22Z</dcterms:modified>
  <cp:lastModifiedBy>Zhaoming Zhang</cp:lastModifiedBy>
</cp:coreProperties>
</file>