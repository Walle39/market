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个人文档\投资\"/>
    </mc:Choice>
  </mc:AlternateContent>
  <xr:revisionPtr revIDLastSave="0" documentId="13_ncr:1_{27DE798F-C41E-4310-B38C-9BF8A892F3AA}" xr6:coauthVersionLast="47" xr6:coauthVersionMax="47" xr10:uidLastSave="{00000000-0000-0000-0000-000000000000}"/>
  <bookViews>
    <workbookView xWindow="-28920" yWindow="-135" windowWidth="29040" windowHeight="15720" xr2:uid="{00000000-000D-0000-FFFF-FFFF00000000}"/>
  </bookViews>
  <sheets>
    <sheet name="数据收集总表" sheetId="1" r:id="rId1"/>
    <sheet name="宏观信号计算表" sheetId="2" r:id="rId2"/>
    <sheet name="验证层计算表" sheetId="3" r:id="rId3"/>
    <sheet name="趋势层计算表" sheetId="4" r:id="rId4"/>
    <sheet name="流动性地缘乘数表" sheetId="5" r:id="rId5"/>
    <sheet name="综合信号计算表" sheetId="6" r:id="rId6"/>
    <sheet name="强制规则检查表" sheetId="7" r:id="rId7"/>
    <sheet name="操作日志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7" l="1"/>
  <c r="E5" i="7" s="1"/>
  <c r="B12" i="5"/>
  <c r="B11" i="5"/>
  <c r="B4" i="5"/>
  <c r="B3" i="5"/>
  <c r="C2" i="7" s="1"/>
  <c r="E2" i="7" s="1"/>
  <c r="C5" i="4"/>
  <c r="D5" i="4" s="1"/>
  <c r="E5" i="4" s="1"/>
  <c r="C4" i="4"/>
  <c r="D4" i="4" s="1"/>
  <c r="E4" i="4" s="1"/>
  <c r="C3" i="4"/>
  <c r="D3" i="4" s="1"/>
  <c r="E3" i="4" s="1"/>
  <c r="C2" i="4"/>
  <c r="D2" i="4" s="1"/>
  <c r="E2" i="4" s="1"/>
  <c r="C4" i="3"/>
  <c r="D4" i="3" s="1"/>
  <c r="E4" i="3" s="1"/>
  <c r="C3" i="3"/>
  <c r="D3" i="3" s="1"/>
  <c r="E3" i="3" s="1"/>
  <c r="C2" i="3"/>
  <c r="D2" i="3" s="1"/>
  <c r="E2" i="3" s="1"/>
  <c r="C10" i="2"/>
  <c r="D10" i="2" s="1"/>
  <c r="E10" i="2" s="1"/>
  <c r="C9" i="2"/>
  <c r="D9" i="2" s="1"/>
  <c r="E9" i="2" s="1"/>
  <c r="C8" i="2"/>
  <c r="D8" i="2" s="1"/>
  <c r="C7" i="2"/>
  <c r="D7" i="2" s="1"/>
  <c r="E7" i="2" s="1"/>
  <c r="E6" i="2"/>
  <c r="C6" i="2"/>
  <c r="C5" i="2"/>
  <c r="D5" i="2" s="1"/>
  <c r="E5" i="2" s="1"/>
  <c r="Q22" i="1"/>
  <c r="Q21" i="1"/>
  <c r="Q19" i="1"/>
  <c r="Q18" i="1"/>
  <c r="Q15" i="1"/>
  <c r="B10" i="5" l="1"/>
  <c r="B15" i="5" s="1"/>
  <c r="C8" i="6" s="1"/>
  <c r="D6" i="4"/>
  <c r="C10" i="6"/>
  <c r="D5" i="3"/>
  <c r="D6" i="3" s="1"/>
  <c r="C5" i="6" s="1"/>
  <c r="E8" i="2"/>
  <c r="E11" i="2" s="1"/>
  <c r="C4" i="6" s="1"/>
  <c r="B13" i="5"/>
  <c r="B5" i="5"/>
  <c r="C7" i="6" s="1"/>
  <c r="D7" i="4" l="1"/>
  <c r="C6" i="6" s="1"/>
  <c r="C9" i="6" s="1"/>
  <c r="C11" i="6" s="1"/>
  <c r="C4" i="7"/>
  <c r="E4" i="7" s="1"/>
  <c r="C3" i="7"/>
  <c r="E3" i="7" s="1"/>
  <c r="B23" i="6" l="1"/>
  <c r="B22" i="6"/>
</calcChain>
</file>

<file path=xl/sharedStrings.xml><?xml version="1.0" encoding="utf-8"?>
<sst xmlns="http://schemas.openxmlformats.org/spreadsheetml/2006/main" count="418" uniqueCount="278">
  <si>
    <t>收集日期</t>
  </si>
  <si>
    <t>央行购金(吨)</t>
  </si>
  <si>
    <t>M2同比增速(%)</t>
  </si>
  <si>
    <t>美债/GDP比率(%)</t>
  </si>
  <si>
    <t>Fed预期差(bp)</t>
  </si>
  <si>
    <t>10Y TIPS(%)</t>
  </si>
  <si>
    <t>DXY</t>
  </si>
  <si>
    <t>ETF持仓4周变化(%)</t>
  </si>
  <si>
    <t>金银比</t>
  </si>
  <si>
    <t>金价/AISC</t>
  </si>
  <si>
    <t>RSI14</t>
  </si>
  <si>
    <t>MACD背离</t>
  </si>
  <si>
    <t>20日均线斜率(%)</t>
  </si>
  <si>
    <t>布林带状态</t>
  </si>
  <si>
    <t>VIX</t>
  </si>
  <si>
    <t>信用利差(%)</t>
  </si>
  <si>
    <t>GPR指数</t>
  </si>
  <si>
    <t>布油价格($)</t>
  </si>
  <si>
    <t>CPI同比(%)</t>
  </si>
  <si>
    <t>金价($)</t>
  </si>
  <si>
    <t>金价单日跌幅</t>
  </si>
  <si>
    <t>DXY单日涨幅</t>
  </si>
  <si>
    <t>日期</t>
  </si>
  <si>
    <t>S_macro</t>
  </si>
  <si>
    <t>K_verif</t>
  </si>
  <si>
    <t>K_trend</t>
  </si>
  <si>
    <t>K_liquidity</t>
  </si>
  <si>
    <t>K_geo</t>
  </si>
  <si>
    <t>参考</t>
  </si>
  <si>
    <t>2026-04-26</t>
  </si>
  <si>
    <t>2026-04-30</t>
  </si>
  <si>
    <t>2026-05-01</t>
  </si>
  <si>
    <t>2026-05-13</t>
  </si>
  <si>
    <t>数据说明：</t>
  </si>
  <si>
    <t>MACD背离: 100=底背离, 50=无背离, 0=顶背离</t>
  </si>
  <si>
    <t>布林带状态: 100=触下轨扩口, 50=中性, 0=触上轨扩口</t>
  </si>
  <si>
    <t>Fed预期差: 正数=预期降息bp, 负数=预期加息bp</t>
  </si>
  <si>
    <t>引用数据收集表最新一行 (最后一行有数据的行)</t>
  </si>
  <si>
    <t>当前引用行: =MAX(IF(数据收集总表!A3:A22&lt;&gt;"",ROW(数据收集总表!A3:A22)))</t>
  </si>
  <si>
    <t>因子</t>
  </si>
  <si>
    <t>权重</t>
  </si>
  <si>
    <t>当前值</t>
  </si>
  <si>
    <t>编码(+1/0/-1)</t>
  </si>
  <si>
    <t>得分贡献</t>
  </si>
  <si>
    <t>阈值说明</t>
  </si>
  <si>
    <t>30%</t>
  </si>
  <si>
    <t>&gt;900=+1, 600-900=0, &lt;600=-1</t>
  </si>
  <si>
    <t>25%</t>
  </si>
  <si>
    <t>&gt;6%=+1, 0%-6%=0, &lt;0%=-1</t>
  </si>
  <si>
    <t>15%</t>
  </si>
  <si>
    <t>&gt;120%=+1, 100%-120%=0, &lt;100%=-1</t>
  </si>
  <si>
    <t>降息&gt;50bp=+1, 中间=0, 加息=-1</t>
  </si>
  <si>
    <t>10%</t>
  </si>
  <si>
    <t>&lt;-0.5%=+1, -0.5%~1.5%=0, &gt;1.5%=-1</t>
  </si>
  <si>
    <t>5%</t>
  </si>
  <si>
    <t>&lt;95=+1, 95-105=0, &gt;105=-1</t>
  </si>
  <si>
    <t>S_macro 合计</t>
  </si>
  <si>
    <t>100%</t>
  </si>
  <si>
    <t>得分(0-100)</t>
  </si>
  <si>
    <t>加权得分</t>
  </si>
  <si>
    <t>得分规则</t>
  </si>
  <si>
    <t>40%</t>
  </si>
  <si>
    <t>≥+2%=100, ≤-2%=0, 线性插值</t>
  </si>
  <si>
    <t>35%</t>
  </si>
  <si>
    <t>≤60=100, ≥100=0, 线性插值</t>
  </si>
  <si>
    <t>≤1.5=100, ≥2.5=0, 线性插值</t>
  </si>
  <si>
    <t>验证层总分 V</t>
  </si>
  <si>
    <t>≤30=100, 30-70递减, ≥70=0</t>
  </si>
  <si>
    <t>底背离=100, 无=50, 顶背离=0</t>
  </si>
  <si>
    <t>≥+0.5%=100, ≤-0.5%=0, 线性插值</t>
  </si>
  <si>
    <t>20%</t>
  </si>
  <si>
    <t>触下轨扩口=100, 触上轨扩口=0, 其他=50</t>
  </si>
  <si>
    <t>趋势层总分 T</t>
  </si>
  <si>
    <t>K_liquidity 计算</t>
  </si>
  <si>
    <t>当前VIX</t>
  </si>
  <si>
    <t>当前信用利差(%)</t>
  </si>
  <si>
    <t>K_geo 计算</t>
  </si>
  <si>
    <t>当前GPR</t>
  </si>
  <si>
    <t>当前布油($)</t>
  </si>
  <si>
    <t>当前CPI(%)</t>
  </si>
  <si>
    <t>Fed编码</t>
  </si>
  <si>
    <t>K_geo 查表矩阵 (参考)</t>
  </si>
  <si>
    <t>GPR连续3月</t>
  </si>
  <si>
    <t>布油&gt;$120+CPI&gt;4%</t>
  </si>
  <si>
    <t>布油$100-120+Fed=-1</t>
  </si>
  <si>
    <t>布油$100-120+Fed=0/+1</t>
  </si>
  <si>
    <t>布油&lt;$100</t>
  </si>
  <si>
    <t>&gt;120</t>
  </si>
  <si>
    <t>1.20</t>
  </si>
  <si>
    <t>0.95</t>
  </si>
  <si>
    <t>1.10</t>
  </si>
  <si>
    <t>100-120</t>
  </si>
  <si>
    <t>—</t>
  </si>
  <si>
    <t>0.98</t>
  </si>
  <si>
    <t>1.05</t>
  </si>
  <si>
    <t>≤100</t>
  </si>
  <si>
    <t>1.00</t>
  </si>
  <si>
    <t>最终信号生成</t>
  </si>
  <si>
    <t>计算步骤</t>
  </si>
  <si>
    <t>数值</t>
  </si>
  <si>
    <t>公式说明</t>
  </si>
  <si>
    <t>第1步</t>
  </si>
  <si>
    <t>宏观驱动信号</t>
  </si>
  <si>
    <t>第2步</t>
  </si>
  <si>
    <t>市场验证乘数</t>
  </si>
  <si>
    <t>第3步</t>
  </si>
  <si>
    <t>趋势动量乘数</t>
  </si>
  <si>
    <t>第4步</t>
  </si>
  <si>
    <t>流动性乘数</t>
  </si>
  <si>
    <t>第5步</t>
  </si>
  <si>
    <t>地缘乘数</t>
  </si>
  <si>
    <t>第6步</t>
  </si>
  <si>
    <t>原始信号</t>
  </si>
  <si>
    <t>五项相乘</t>
  </si>
  <si>
    <t>第7步</t>
  </si>
  <si>
    <t>强制规则检查</t>
  </si>
  <si>
    <t>见工作表7</t>
  </si>
  <si>
    <t>第8步</t>
  </si>
  <si>
    <t>最终信号</t>
  </si>
  <si>
    <t>强制规则覆盖</t>
  </si>
  <si>
    <t>信号等级</t>
  </si>
  <si>
    <t>仓位建议</t>
  </si>
  <si>
    <t>信号范围</t>
  </si>
  <si>
    <t>🔥 强力看多</t>
  </si>
  <si>
    <t>16%-20%</t>
  </si>
  <si>
    <t>≥+0.60</t>
  </si>
  <si>
    <t>✅ 看多</t>
  </si>
  <si>
    <t>9%-16%</t>
  </si>
  <si>
    <t>+0.35~+0.60</t>
  </si>
  <si>
    <t>🟡 偏多</t>
  </si>
  <si>
    <t>6%-9%</t>
  </si>
  <si>
    <t>+0.15~+0.35</t>
  </si>
  <si>
    <t>⚪ 中性</t>
  </si>
  <si>
    <t>3%-6%</t>
  </si>
  <si>
    <t>-0.15~+0.15</t>
  </si>
  <si>
    <t>🟠 偏空</t>
  </si>
  <si>
    <t>1%-30%</t>
  </si>
  <si>
    <t>-0.35~-0.15</t>
  </si>
  <si>
    <t>🔴 看空</t>
  </si>
  <si>
    <t>0%-1%</t>
  </si>
  <si>
    <t>≤-0.35</t>
  </si>
  <si>
    <t>当前信号等级:</t>
  </si>
  <si>
    <t>建议仓位:</t>
  </si>
  <si>
    <t>规则ID</t>
  </si>
  <si>
    <t>触发条件</t>
  </si>
  <si>
    <t>判断公式</t>
  </si>
  <si>
    <t>强制动作</t>
  </si>
  <si>
    <t>是否触发</t>
  </si>
  <si>
    <t>OR-03</t>
  </si>
  <si>
    <t>VIX≥35 且 黄金-1%美元+0.5%</t>
  </si>
  <si>
    <t>OR-01</t>
  </si>
  <si>
    <t>趋势层总分&lt;20</t>
  </si>
  <si>
    <t>OR-02</t>
  </si>
  <si>
    <t>趋势层总分&gt;80</t>
  </si>
  <si>
    <t>结构牛底线</t>
  </si>
  <si>
    <t>连续两季购金&gt;300吨</t>
  </si>
  <si>
    <t>操作类型</t>
  </si>
  <si>
    <t>数据项</t>
  </si>
  <si>
    <t>原值</t>
  </si>
  <si>
    <t>新值</t>
  </si>
  <si>
    <t>信号变化前</t>
  </si>
  <si>
    <t>信号变化后</t>
  </si>
  <si>
    <t>备注</t>
  </si>
  <si>
    <t>首次数据收集</t>
  </si>
  <si>
    <t>完成20项数据采集与填充</t>
  </si>
  <si>
    <t>S_macro=-0.25, K_verif=0.85, K_trend=0.94, 最终信号=-0.20</t>
  </si>
  <si>
    <t>中性偏空，等待回调</t>
  </si>
  <si>
    <t>更新</t>
  </si>
  <si>
    <t>完成21项数据采集</t>
  </si>
  <si>
    <t>-</t>
  </si>
  <si>
    <t>S_macro: 央行购金=838吨, M2=4.2%, 债务GDP=122.57%, Fed=-15bp, TIPS=1.92%, DXY=98.66</t>
  </si>
  <si>
    <t>自动收集2026-04-30 17:25 | 数据源:新浪/Stooq/FRED/TradingEconomics/akshare(GC)</t>
  </si>
  <si>
    <t>2026-04-30 18:34:08</t>
  </si>
  <si>
    <t>自动数据收集</t>
  </si>
  <si>
    <t>Row 6 (2026-04-30)</t>
  </si>
  <si>
    <t>22/22项数据完整写入</t>
  </si>
  <si>
    <t>数据源: 新浪(金价/银价/金银比/DXY日涨跌), Stooq(DXY), FRED(M2/TIPS/债务GDP/VIX/信用利差/CPI), TradingEconomics(布油$110.37), akshare COMEX GC(技术指标/ETF变化), 缓存(GPR/AISC/央行购金/Fed预期差)</t>
  </si>
  <si>
    <t>2026-04-30 19:45:11</t>
  </si>
  <si>
    <t>Row 7 (2026-04-30)</t>
  </si>
  <si>
    <t>数据源: 新浪(hf_XAU/hf_XAG/hf_CL金价/银价/金银比), Stooq(DXY=98.485), FRED(M2=4.2%/TIPS=1.92%/债务GDP=122.57%/VIX=17.83/信用利差=1.69%/CPI=3.32%), akshare COMEX GC(技术指标), 东方财富(ETF4周变化=1.8%), 缓存(GPR=297.27/AISC=1400/央行购金=838吨/Fed=-15bp)</t>
  </si>
  <si>
    <t>2026-04-30 20:51:46</t>
  </si>
  <si>
    <t>数据收集总表 Row 8</t>
  </si>
  <si>
    <t>新增2026-04-30数据，22项全部完整</t>
  </si>
  <si>
    <t>成功</t>
  </si>
  <si>
    <t>2026-04-30 21:59:13</t>
  </si>
  <si>
    <t>数据收集总表 Row 9</t>
  </si>
  <si>
    <t>金价$4543.41, DXY=98.327, VIX=18.81, GPR=297.27</t>
  </si>
  <si>
    <t>2026-04-30 23:05:30</t>
  </si>
  <si>
    <t>数据收集总表 Row 10 (2026-04-30)</t>
  </si>
  <si>
    <t>新增2026-04-30数据行，22项全部完整</t>
  </si>
  <si>
    <t>数据源: 新浪(hf_XAU金价4543.41/hf_XAG银价71.27/金银比63.75/hf_CL WTI原油106.263/ETF技术指标), Stooq(DXY=98.005), FRED(M2=4.2%/TIPS=1.92%/债务GDP=122.57%/VIX=18.81/信用利差=1.69%/CPI同比=3.12%), 东方财富(ETF4周变化=2.17%), 缓存(GPR=297.27/AISC=1400/央行购金=838吨/Fed=-15bp)</t>
  </si>
  <si>
    <t>数据收集</t>
  </si>
  <si>
    <t>第2026-05-01行</t>
  </si>
  <si>
    <t>无</t>
  </si>
  <si>
    <t>填充 21/22 字段</t>
  </si>
  <si>
    <t>自动化任务执行 02:24:09</t>
  </si>
  <si>
    <t>自动化任务执行 06:31:28</t>
  </si>
  <si>
    <t>自动化任务执行 06:51:20</t>
  </si>
  <si>
    <t>自动化任务执行 07:56:30</t>
  </si>
  <si>
    <t>2026-05-01 14:38:38 | 自动更新 | 新增第16行数据 | 22/22项完整 | 金价$4595.08 DXY 98.232 布油$111.815 | 来源: 新浪+FRED+CNBC+东方财富</t>
  </si>
  <si>
    <t>2026-05-12 08:16:50</t>
  </si>
  <si>
    <t>自动更新数据</t>
  </si>
  <si>
    <t>dxy, aisc</t>
  </si>
  <si>
    <t>自动收集20/22项数据</t>
  </si>
  <si>
    <t>自动更新</t>
  </si>
  <si>
    <t>17项数据</t>
  </si>
  <si>
    <t>Row 14</t>
  </si>
  <si>
    <t>自动采集 17 项数据，缺失: 金价, AISC, ETF4周变化</t>
  </si>
  <si>
    <t>20项数据</t>
  </si>
  <si>
    <t>Row 15</t>
  </si>
  <si>
    <t>自动采集 20 项数据，缺失: AISC, ETF4周变化</t>
  </si>
  <si>
    <t>22项数据</t>
  </si>
  <si>
    <t>Row 16</t>
  </si>
  <si>
    <t>自动采集 22 项数据，缺失: AISC</t>
  </si>
  <si>
    <t>Row 17</t>
  </si>
  <si>
    <t>2026-05-13 08:36:01</t>
  </si>
  <si>
    <t>GMVM_v6.1_数据表 第14行(2026-05-13)</t>
  </si>
  <si>
    <t>22/22项原始数据采集完成</t>
  </si>
  <si>
    <t>自动采集22项: 金价730(akshare GC), 银价8.20(akshare SI), DXY=97.7146(FRED/1.208 05-08), 布油18.26(FRED 05-01), M2同比=4.88%, TIPS=1.95%, VIX=18.38, 信用利差=1.65%, 债务/GDP=122.57%, CPI同比=3.95%, Fed预期差=2.5bp(SOFR), GPR=122.17(04月), 央行购金=838吨(Q1-2026缓存), RSI=37.25, 布林带=67, MACD背离=50, MA20斜率=-0.04%, ETF4周=-0.01%, 金银比=53.63, 金价日涨跌=-0.10%, DXY日涨跌=0.00%(FRED尚未更新); AISC字段待手动从WGC更新</t>
  </si>
  <si>
    <t>2026-05-13 15:58:50</t>
  </si>
  <si>
    <t>每日轻量</t>
  </si>
  <si>
    <t>8+7项</t>
  </si>
  <si>
    <t>Row15</t>
  </si>
  <si>
    <t>每日轻量采集8项，继承7项低频数据</t>
  </si>
  <si>
    <t>2026-05-13 15:59:33</t>
  </si>
  <si>
    <t>低频补全</t>
  </si>
  <si>
    <t>7项</t>
  </si>
  <si>
    <t>补全:央行购金=838吨,AISC=$1400.0,GPR=122.1733169555664,M2同比=4.88%,债务/GDP=122.56815%,CPI同比=3.95%,信用利差=1.65%</t>
  </si>
  <si>
    <t>2026-05-01 00:11:24</t>
  </si>
  <si>
    <t>数据更新</t>
  </si>
  <si>
    <t>新增Row 11</t>
  </si>
  <si>
    <t>22/22项完整</t>
  </si>
  <si>
    <t>2026-05-01 01:17:10</t>
  </si>
  <si>
    <t>数据收集总表</t>
  </si>
  <si>
    <t>自动更新第29行 (2026-05-01)</t>
  </si>
  <si>
    <t>03:33:25</t>
  </si>
  <si>
    <t>自动收集数据 (行11)</t>
  </si>
  <si>
    <t>03:35:42</t>
  </si>
  <si>
    <t>自动化数据收集 (行6, 22字段完整)</t>
  </si>
  <si>
    <t>2026-05-01 04:40:08</t>
  </si>
  <si>
    <t>数据收集总表 Row 6 (2026-05-01)</t>
  </si>
  <si>
    <t>22/22项数据完整更新</t>
  </si>
  <si>
    <t>2026-05-01 05:42:00</t>
  </si>
  <si>
    <t>数据收集总表 Row 7 (2026-05-01)</t>
  </si>
  <si>
    <t>自动化任务执行 06:51:20 (已补充布油价格110.44)</t>
  </si>
  <si>
    <t>07:58:23</t>
  </si>
  <si>
    <t>第11行</t>
  </si>
  <si>
    <t>09:08:27</t>
  </si>
  <si>
    <t>第12行</t>
  </si>
  <si>
    <t>10:12:58</t>
  </si>
  <si>
    <t>第13行</t>
  </si>
  <si>
    <t>21/22项数据完整写入</t>
  </si>
  <si>
    <t>10:13:26</t>
  </si>
  <si>
    <t>补充数据</t>
  </si>
  <si>
    <t>TIPS=1.96, CPI同比=3.32% 补充完整 (22/22)</t>
  </si>
  <si>
    <t>11:15:45</t>
  </si>
  <si>
    <t>第14行</t>
  </si>
  <si>
    <t>12:22:38</t>
  </si>
  <si>
    <t>第15行</t>
  </si>
  <si>
    <t>12:24:14</t>
  </si>
  <si>
    <t>CPI同比=3.32% 补充完整 (22/22)</t>
  </si>
  <si>
    <t>21:58:33</t>
  </si>
  <si>
    <t>第17行</t>
  </si>
  <si>
    <t>23:04:00</t>
  </si>
  <si>
    <t>第18行</t>
  </si>
  <si>
    <t>22/22项完整 (DXY已修正为97.911)</t>
  </si>
  <si>
    <t>2026-05-09 11:40:22</t>
  </si>
  <si>
    <t>自动采集: 新增5行数据(2026-05-04至2026-05-08)</t>
  </si>
  <si>
    <t>数据来源: akshare(GC/SI期货)、东方财富UDI(DXY)、东方财富B00Y(布油)、FRED(TIPS/VIX/信用利差/M2/CPI)、GPR月度2026-04(matteoiacoviello.com)</t>
  </si>
  <si>
    <t>2026-05-11 08:17:48</t>
  </si>
  <si>
    <t>自动采集写入 2026-05-11 数据行（金价=4694.6, DXY=98.01, 布油=104.66）</t>
  </si>
  <si>
    <t>2026-05-11 16:02:52</t>
  </si>
  <si>
    <t>自动采集更新 2026-05-11 数据（金价=4683.5, DXY=97.9845, 布油=104.91, 银价=80.895, RSI=47.63）</t>
  </si>
  <si>
    <t>2026-05-13 17:32:51</t>
  </si>
  <si>
    <t>风险预警</t>
  </si>
  <si>
    <t>中性偏空 (-0.20)</t>
  </si>
  <si>
    <t>偏空 (-0.27482751)</t>
  </si>
  <si>
    <t>等级变化: 中性偏空→偏空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</si>
</sst>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name val="Calibri"/>
    </font>
    <font>
      <b/>
      <sz val="11"/>
      <name val="Calibri"/>
    </font>
    <font>
      <b/>
      <sz val="12"/>
      <name val="Calibri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</fonts>
  <fills count="1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E8F5E9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0" fontId="0" fillId="0" borderId="1" xfId="0" applyBorder="1"/>
    <xf numFmtId="0" fontId="0" fillId="10" borderId="1" xfId="0" applyFill="1" applyBorder="1"/>
    <xf numFmtId="0" fontId="3" fillId="0" borderId="0" xfId="0" applyFo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11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164" fontId="0" fillId="10" borderId="1" xfId="0" applyNumberForma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5" fillId="13" borderId="1" xfId="0" applyFont="1" applyFill="1" applyBorder="1"/>
    <xf numFmtId="0" fontId="6" fillId="14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8"/>
  <sheetViews>
    <sheetView tabSelected="1" workbookViewId="0">
      <selection activeCell="C16" sqref="C16"/>
    </sheetView>
  </sheetViews>
  <sheetFormatPr defaultRowHeight="14.5"/>
  <cols>
    <col min="1" max="1" width="16" customWidth="1"/>
    <col min="2" max="20" width="14" customWidth="1"/>
    <col min="21" max="21" width="11.26953125" customWidth="1"/>
    <col min="22" max="22" width="11.08984375" customWidth="1"/>
  </cols>
  <sheetData>
    <row r="1" spans="1:22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A2" s="2" t="s">
        <v>22</v>
      </c>
      <c r="B2" s="3" t="s">
        <v>23</v>
      </c>
      <c r="C2" s="3" t="s">
        <v>23</v>
      </c>
      <c r="D2" s="3" t="s">
        <v>23</v>
      </c>
      <c r="E2" s="3" t="s">
        <v>23</v>
      </c>
      <c r="F2" s="3" t="s">
        <v>23</v>
      </c>
      <c r="G2" s="3" t="s">
        <v>23</v>
      </c>
      <c r="H2" s="4" t="s">
        <v>24</v>
      </c>
      <c r="I2" s="4" t="s">
        <v>24</v>
      </c>
      <c r="J2" s="4" t="s">
        <v>24</v>
      </c>
      <c r="K2" s="5" t="s">
        <v>25</v>
      </c>
      <c r="L2" s="5" t="s">
        <v>25</v>
      </c>
      <c r="M2" s="5" t="s">
        <v>25</v>
      </c>
      <c r="N2" s="5" t="s">
        <v>25</v>
      </c>
      <c r="O2" s="6" t="s">
        <v>26</v>
      </c>
      <c r="P2" s="6" t="s">
        <v>26</v>
      </c>
      <c r="Q2" s="7" t="s">
        <v>27</v>
      </c>
      <c r="R2" s="7" t="s">
        <v>27</v>
      </c>
      <c r="S2" s="7" t="s">
        <v>27</v>
      </c>
      <c r="T2" s="8" t="s">
        <v>28</v>
      </c>
      <c r="U2" s="8" t="s">
        <v>28</v>
      </c>
      <c r="V2" s="8" t="s">
        <v>23</v>
      </c>
    </row>
    <row r="3" spans="1:22">
      <c r="A3" s="26" t="s">
        <v>32</v>
      </c>
      <c r="B3" s="27">
        <v>838</v>
      </c>
      <c r="C3" s="27">
        <v>4.88</v>
      </c>
      <c r="D3" s="27">
        <v>122.56815</v>
      </c>
      <c r="E3" s="28">
        <v>2.5</v>
      </c>
      <c r="F3" s="27">
        <v>1.95</v>
      </c>
      <c r="G3" s="27">
        <v>97.714600000000004</v>
      </c>
      <c r="H3" s="27">
        <v>-0.01</v>
      </c>
      <c r="I3" s="27">
        <v>53.628100000000003</v>
      </c>
      <c r="J3" s="27">
        <v>3.3786</v>
      </c>
      <c r="K3" s="27">
        <v>37.25</v>
      </c>
      <c r="L3" s="27">
        <v>50</v>
      </c>
      <c r="M3" s="27">
        <v>-3.8899999999999997E-2</v>
      </c>
      <c r="N3" s="27">
        <v>67</v>
      </c>
      <c r="O3" s="27">
        <v>18.38</v>
      </c>
      <c r="P3" s="27">
        <v>1.65</v>
      </c>
      <c r="Q3" s="28">
        <v>122.17331695556641</v>
      </c>
      <c r="R3" s="27">
        <v>118.26</v>
      </c>
      <c r="S3" s="27">
        <v>3.95</v>
      </c>
      <c r="T3" s="27">
        <v>4730</v>
      </c>
      <c r="U3" s="27">
        <v>-9.7799999999999998E-2</v>
      </c>
      <c r="V3" s="27">
        <v>0</v>
      </c>
    </row>
    <row r="4" spans="1:22">
      <c r="A4" s="9"/>
      <c r="B4" s="18"/>
      <c r="C4" s="19"/>
      <c r="D4" s="19"/>
      <c r="E4" s="16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6"/>
      <c r="R4" s="19"/>
      <c r="S4" s="19"/>
      <c r="T4" s="19"/>
      <c r="U4" s="19"/>
      <c r="V4" s="18"/>
    </row>
    <row r="5" spans="1:22">
      <c r="A5" s="9"/>
      <c r="B5" s="18"/>
      <c r="C5" s="10"/>
      <c r="D5" s="10"/>
      <c r="E5" s="16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6"/>
      <c r="R5" s="10"/>
      <c r="S5" s="10"/>
      <c r="T5" s="10"/>
      <c r="U5" s="10"/>
      <c r="V5" s="10"/>
    </row>
    <row r="6" spans="1:22">
      <c r="A6" s="23"/>
      <c r="B6" s="24"/>
      <c r="C6" s="24"/>
      <c r="D6" s="24"/>
      <c r="E6" s="25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5"/>
      <c r="R6" s="24"/>
      <c r="S6" s="24"/>
      <c r="T6" s="24"/>
      <c r="U6" s="24"/>
      <c r="V6" s="24"/>
    </row>
    <row r="7" spans="1:22">
      <c r="A7" s="23"/>
      <c r="B7" s="18"/>
      <c r="C7" s="24"/>
      <c r="D7" s="24"/>
      <c r="E7" s="16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16"/>
      <c r="R7" s="24"/>
      <c r="S7" s="24"/>
      <c r="T7" s="24"/>
      <c r="U7" s="24"/>
      <c r="V7" s="24"/>
    </row>
    <row r="8" spans="1:22">
      <c r="A8" s="23"/>
      <c r="B8" s="18"/>
      <c r="C8" s="24"/>
      <c r="D8" s="24"/>
      <c r="E8" s="16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16"/>
      <c r="R8" s="24"/>
      <c r="S8" s="24"/>
      <c r="T8" s="24"/>
      <c r="U8" s="24"/>
      <c r="V8" s="24"/>
    </row>
    <row r="9" spans="1:22">
      <c r="A9" s="23"/>
      <c r="B9" s="18"/>
      <c r="C9" s="24"/>
      <c r="D9" s="24"/>
      <c r="E9" s="16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16"/>
      <c r="R9" s="24"/>
      <c r="S9" s="24"/>
      <c r="T9" s="24"/>
      <c r="U9" s="24"/>
      <c r="V9" s="24"/>
    </row>
    <row r="10" spans="1:22">
      <c r="A10" s="23"/>
      <c r="B10" s="18"/>
      <c r="C10" s="24"/>
      <c r="D10" s="24"/>
      <c r="E10" s="16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16"/>
      <c r="R10" s="24"/>
      <c r="S10" s="24"/>
      <c r="T10" s="24"/>
      <c r="U10" s="24"/>
      <c r="V10" s="24"/>
    </row>
    <row r="11" spans="1:22">
      <c r="A11" s="23"/>
      <c r="B11" s="18"/>
      <c r="C11" s="24"/>
      <c r="D11" s="24"/>
      <c r="E11" s="16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16"/>
      <c r="R11" s="24"/>
      <c r="S11" s="24"/>
      <c r="T11" s="24"/>
      <c r="U11" s="24"/>
      <c r="V11" s="24"/>
    </row>
    <row r="12" spans="1:22">
      <c r="A12" s="23"/>
      <c r="B12" s="18"/>
      <c r="C12" s="24"/>
      <c r="D12" s="24"/>
      <c r="E12" s="16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16"/>
      <c r="R12" s="24"/>
      <c r="S12" s="24"/>
      <c r="T12" s="24"/>
      <c r="U12" s="24"/>
      <c r="V12" s="24"/>
    </row>
    <row r="13" spans="1:22">
      <c r="A13" s="23"/>
      <c r="B13" s="18"/>
      <c r="C13" s="24"/>
      <c r="D13" s="24"/>
      <c r="E13" s="16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16"/>
      <c r="R13" s="24"/>
      <c r="S13" s="24"/>
      <c r="T13" s="24"/>
      <c r="U13" s="24"/>
      <c r="V13" s="24"/>
    </row>
    <row r="14" spans="1:22">
      <c r="A14" s="23"/>
      <c r="B14" s="18"/>
      <c r="C14" s="24"/>
      <c r="D14" s="24"/>
      <c r="E14" s="16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16"/>
      <c r="R14" s="24"/>
      <c r="S14" s="24"/>
      <c r="T14" s="24"/>
      <c r="U14" s="24"/>
      <c r="V14" s="24"/>
    </row>
    <row r="15" spans="1:22">
      <c r="A15" s="23"/>
      <c r="B15" s="18"/>
      <c r="C15" s="24"/>
      <c r="D15" s="24"/>
      <c r="E15" s="16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16">
        <f>Q26</f>
        <v>0</v>
      </c>
      <c r="R15" s="24"/>
      <c r="S15" s="24"/>
      <c r="T15" s="24"/>
      <c r="U15" s="24"/>
      <c r="V15" s="24"/>
    </row>
    <row r="16" spans="1:22">
      <c r="A16" s="23"/>
      <c r="B16" s="18"/>
      <c r="C16" s="24"/>
      <c r="D16" s="24"/>
      <c r="E16" s="16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16"/>
      <c r="R16" s="24"/>
      <c r="S16" s="24"/>
      <c r="T16" s="24"/>
      <c r="U16" s="24"/>
      <c r="V16" s="24"/>
    </row>
    <row r="17" spans="1:22">
      <c r="A17" s="23"/>
      <c r="B17" s="18"/>
      <c r="C17" s="24"/>
      <c r="D17" s="24"/>
      <c r="E17" s="16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16"/>
      <c r="R17" s="24"/>
      <c r="S17" s="24"/>
      <c r="T17" s="24"/>
      <c r="U17" s="24"/>
      <c r="V17" s="24"/>
    </row>
    <row r="18" spans="1:22">
      <c r="A18" s="9"/>
      <c r="B18" s="18"/>
      <c r="C18" s="10"/>
      <c r="D18" s="10"/>
      <c r="E18" s="16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6">
        <f>Q27</f>
        <v>0</v>
      </c>
      <c r="R18" s="10"/>
      <c r="S18" s="10"/>
      <c r="T18" s="10"/>
      <c r="U18" s="10"/>
      <c r="V18" s="10"/>
    </row>
    <row r="19" spans="1:22">
      <c r="A19" s="9"/>
      <c r="B19" s="18"/>
      <c r="C19" s="10"/>
      <c r="D19" s="10"/>
      <c r="E19" s="16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6">
        <f>Q28</f>
        <v>0</v>
      </c>
      <c r="R19" s="10"/>
      <c r="S19" s="10"/>
      <c r="T19" s="10"/>
      <c r="U19" s="10"/>
      <c r="V19" s="10"/>
    </row>
    <row r="20" spans="1:22">
      <c r="A20" s="9"/>
      <c r="B20" s="18"/>
      <c r="C20" s="10"/>
      <c r="D20" s="10"/>
      <c r="E20" s="16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6"/>
      <c r="R20" s="10"/>
      <c r="S20" s="10"/>
      <c r="T20" s="10"/>
      <c r="U20" s="10"/>
      <c r="V20" s="10"/>
    </row>
    <row r="21" spans="1:22">
      <c r="A21" s="9"/>
      <c r="B21" s="18"/>
      <c r="C21" s="10"/>
      <c r="D21" s="10"/>
      <c r="E21" s="16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6">
        <f>Q29</f>
        <v>0</v>
      </c>
      <c r="R21" s="10"/>
      <c r="S21" s="10"/>
      <c r="T21" s="10"/>
      <c r="U21" s="10"/>
      <c r="V21" s="10"/>
    </row>
    <row r="22" spans="1:22">
      <c r="A22" s="9"/>
      <c r="B22" s="18"/>
      <c r="C22" s="10"/>
      <c r="D22" s="10"/>
      <c r="E22" s="16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6">
        <f>Q30</f>
        <v>0</v>
      </c>
      <c r="R22" s="10"/>
      <c r="S22" s="10"/>
      <c r="T22" s="10"/>
      <c r="U22" s="10"/>
      <c r="V22" s="10"/>
    </row>
    <row r="25" spans="1:22">
      <c r="A25" t="s">
        <v>33</v>
      </c>
    </row>
    <row r="26" spans="1:22">
      <c r="A26" t="s">
        <v>34</v>
      </c>
    </row>
    <row r="27" spans="1:22">
      <c r="A27" t="s">
        <v>35</v>
      </c>
    </row>
    <row r="28" spans="1:22">
      <c r="A28" t="s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/>
  </sheetViews>
  <sheetFormatPr defaultRowHeight="14.5"/>
  <cols>
    <col min="1" max="6" width="18" customWidth="1"/>
  </cols>
  <sheetData>
    <row r="1" spans="1:6">
      <c r="A1" t="s">
        <v>37</v>
      </c>
    </row>
    <row r="2" spans="1:6">
      <c r="A2" t="s">
        <v>38</v>
      </c>
    </row>
    <row r="4" spans="1:6" ht="15" customHeight="1">
      <c r="A4" s="1" t="s">
        <v>39</v>
      </c>
      <c r="B4" s="1" t="s">
        <v>40</v>
      </c>
      <c r="C4" s="1" t="s">
        <v>41</v>
      </c>
      <c r="D4" s="1" t="s">
        <v>42</v>
      </c>
      <c r="E4" s="1" t="s">
        <v>43</v>
      </c>
      <c r="F4" s="1" t="s">
        <v>44</v>
      </c>
    </row>
    <row r="5" spans="1:6" ht="30" customHeight="1">
      <c r="A5" s="10" t="s">
        <v>1</v>
      </c>
      <c r="B5" s="10" t="s">
        <v>45</v>
      </c>
      <c r="C5" s="10">
        <f>LOOKUP(2,1/(数据收集总表!B3:B31&lt;&gt;""),数据收集总表!B3:B31)</f>
        <v>838</v>
      </c>
      <c r="D5" s="10">
        <f>IF(C5&gt;900,1,IF(C5&gt;=600,0,-1))</f>
        <v>0</v>
      </c>
      <c r="E5" s="10">
        <f t="shared" ref="E5:E10" si="0">D5*VALUE(SUBSTITUTE(B5,"%",""))/100</f>
        <v>0</v>
      </c>
      <c r="F5" s="10" t="s">
        <v>46</v>
      </c>
    </row>
    <row r="6" spans="1:6" ht="30" customHeight="1">
      <c r="A6" s="10" t="s">
        <v>2</v>
      </c>
      <c r="B6" s="10" t="s">
        <v>47</v>
      </c>
      <c r="C6" s="10">
        <f>LOOKUP(2,1/(数据收集总表!C3:C31&lt;&gt;""),数据收集总表!C3:C31)</f>
        <v>4.88</v>
      </c>
      <c r="D6" s="10"/>
      <c r="E6" s="10">
        <f t="shared" si="0"/>
        <v>0</v>
      </c>
      <c r="F6" s="10" t="s">
        <v>48</v>
      </c>
    </row>
    <row r="7" spans="1:6" ht="30" customHeight="1">
      <c r="A7" s="10" t="s">
        <v>3</v>
      </c>
      <c r="B7" s="10" t="s">
        <v>49</v>
      </c>
      <c r="C7" s="10">
        <f>LOOKUP(2,1/(数据收集总表!D3:D31&lt;&gt;""),数据收集总表!D3:D31)</f>
        <v>122.56815</v>
      </c>
      <c r="D7" s="10">
        <f>IF(C7&gt;120,1,IF(C7&gt;=100,0,-1))</f>
        <v>1</v>
      </c>
      <c r="E7" s="10">
        <f t="shared" si="0"/>
        <v>0.15</v>
      </c>
      <c r="F7" s="10" t="s">
        <v>50</v>
      </c>
    </row>
    <row r="8" spans="1:6" ht="30" customHeight="1">
      <c r="A8" s="10" t="s">
        <v>4</v>
      </c>
      <c r="B8" s="10" t="s">
        <v>49</v>
      </c>
      <c r="C8" s="10">
        <f>LOOKUP(2,1/(数据收集总表!E3:E31&lt;&gt;""),数据收集总表!E3:E31)</f>
        <v>2.5</v>
      </c>
      <c r="D8" s="10">
        <f>IF(C8&gt;50,1,IF(C8&lt;-50,-1,0))</f>
        <v>0</v>
      </c>
      <c r="E8" s="10">
        <f t="shared" si="0"/>
        <v>0</v>
      </c>
      <c r="F8" s="10" t="s">
        <v>51</v>
      </c>
    </row>
    <row r="9" spans="1:6" ht="45" customHeight="1">
      <c r="A9" s="10" t="s">
        <v>5</v>
      </c>
      <c r="B9" s="10" t="s">
        <v>52</v>
      </c>
      <c r="C9" s="10">
        <f>LOOKUP(2,1/(数据收集总表!F3:F31&lt;&gt;""),数据收集总表!F3:F31)</f>
        <v>1.95</v>
      </c>
      <c r="D9" s="10">
        <f>IF(C9&lt;-0.5,1,IF(C9&lt;=1.5,0,-1))</f>
        <v>-1</v>
      </c>
      <c r="E9" s="10">
        <f t="shared" si="0"/>
        <v>-0.1</v>
      </c>
      <c r="F9" s="10" t="s">
        <v>53</v>
      </c>
    </row>
    <row r="10" spans="1:6" ht="30" customHeight="1">
      <c r="A10" s="10" t="s">
        <v>6</v>
      </c>
      <c r="B10" s="10" t="s">
        <v>54</v>
      </c>
      <c r="C10" s="10">
        <f>LOOKUP(2,1/(数据收集总表!G3:G31&lt;&gt;""),数据收集总表!G3:G31)</f>
        <v>97.714600000000004</v>
      </c>
      <c r="D10" s="10">
        <f>IF(C10&lt;95,1,IF(C10&lt;=105,0,-1))</f>
        <v>0</v>
      </c>
      <c r="E10" s="10">
        <f t="shared" si="0"/>
        <v>0</v>
      </c>
      <c r="F10" s="10" t="s">
        <v>55</v>
      </c>
    </row>
    <row r="11" spans="1:6" ht="15" customHeight="1">
      <c r="A11" s="11" t="s">
        <v>56</v>
      </c>
      <c r="B11" s="10" t="s">
        <v>57</v>
      </c>
      <c r="C11" s="10"/>
      <c r="D11" s="10"/>
      <c r="E11" s="10">
        <f>SUM(E5:E10)</f>
        <v>4.9999999999999989E-2</v>
      </c>
      <c r="F11" s="1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/>
  </sheetViews>
  <sheetFormatPr defaultRowHeight="14.5"/>
  <cols>
    <col min="1" max="6" width="20" customWidth="1"/>
  </cols>
  <sheetData>
    <row r="1" spans="1:6" ht="15" customHeight="1">
      <c r="A1" s="1" t="s">
        <v>39</v>
      </c>
      <c r="B1" s="1" t="s">
        <v>40</v>
      </c>
      <c r="C1" s="1" t="s">
        <v>41</v>
      </c>
      <c r="D1" s="1" t="s">
        <v>58</v>
      </c>
      <c r="E1" s="1" t="s">
        <v>59</v>
      </c>
      <c r="F1" s="1" t="s">
        <v>60</v>
      </c>
    </row>
    <row r="2" spans="1:6" ht="30" customHeight="1">
      <c r="A2" s="10" t="s">
        <v>7</v>
      </c>
      <c r="B2" s="10" t="s">
        <v>61</v>
      </c>
      <c r="C2" s="10">
        <f>LOOKUP(2,1/(数据收集总表!H3:H31&lt;&gt;""),数据收集总表!H3:H31)</f>
        <v>-0.01</v>
      </c>
      <c r="D2" s="10">
        <f>IF(C2&gt;=2,100,IF(C2&lt;=-2,0,(C2+2)*25))</f>
        <v>49.75</v>
      </c>
      <c r="E2" s="10">
        <f>D2*VALUE(SUBSTITUTE(B2,"%",""))/100</f>
        <v>19.899999999999999</v>
      </c>
      <c r="F2" s="10" t="s">
        <v>62</v>
      </c>
    </row>
    <row r="3" spans="1:6" ht="30" customHeight="1">
      <c r="A3" s="10" t="s">
        <v>8</v>
      </c>
      <c r="B3" s="10" t="s">
        <v>63</v>
      </c>
      <c r="C3" s="10">
        <f>LOOKUP(2,1/(数据收集总表!I3:I31&lt;&gt;""),数据收集总表!I3:I31)</f>
        <v>53.628100000000003</v>
      </c>
      <c r="D3" s="10">
        <f>IF(C3&lt;=60,100,IF(C3&gt;=100,0,(100-C3)*2.5))</f>
        <v>100</v>
      </c>
      <c r="E3" s="10">
        <f>D3*VALUE(SUBSTITUTE(B3,"%",""))/100</f>
        <v>35</v>
      </c>
      <c r="F3" s="10" t="s">
        <v>64</v>
      </c>
    </row>
    <row r="4" spans="1:6" ht="30" customHeight="1">
      <c r="A4" s="10" t="s">
        <v>9</v>
      </c>
      <c r="B4" s="10" t="s">
        <v>47</v>
      </c>
      <c r="C4" s="10">
        <f>LOOKUP(2,1/(数据收集总表!J3:J31&lt;&gt;""),数据收集总表!J3:J31)</f>
        <v>3.3786</v>
      </c>
      <c r="D4" s="10">
        <f>IF(C4&lt;=1.5,100,IF(C4&gt;=2.5,0,(2.5-C4)*100))</f>
        <v>0</v>
      </c>
      <c r="E4" s="10">
        <f>D4*VALUE(SUBSTITUTE(B4,"%",""))/100</f>
        <v>0</v>
      </c>
      <c r="F4" s="10" t="s">
        <v>65</v>
      </c>
    </row>
    <row r="5" spans="1:6" ht="15" customHeight="1">
      <c r="A5" s="11" t="s">
        <v>66</v>
      </c>
      <c r="B5" s="10"/>
      <c r="C5" s="10"/>
      <c r="D5" s="10">
        <f>SUM(E2:E4)</f>
        <v>54.9</v>
      </c>
      <c r="E5" s="10"/>
      <c r="F5" s="10"/>
    </row>
    <row r="6" spans="1:6" ht="15" customHeight="1">
      <c r="A6" s="11" t="s">
        <v>24</v>
      </c>
      <c r="B6" s="10"/>
      <c r="C6" s="10"/>
      <c r="D6" s="10">
        <f>D5/100+0.5</f>
        <v>1.0489999999999999</v>
      </c>
      <c r="E6" s="10"/>
      <c r="F6" s="10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workbookViewId="0"/>
  </sheetViews>
  <sheetFormatPr defaultRowHeight="14.5"/>
  <cols>
    <col min="1" max="6" width="20" customWidth="1"/>
  </cols>
  <sheetData>
    <row r="1" spans="1:6" ht="15" customHeight="1">
      <c r="A1" s="1" t="s">
        <v>39</v>
      </c>
      <c r="B1" s="1" t="s">
        <v>40</v>
      </c>
      <c r="C1" s="1" t="s">
        <v>41</v>
      </c>
      <c r="D1" s="1" t="s">
        <v>58</v>
      </c>
      <c r="E1" s="1" t="s">
        <v>59</v>
      </c>
      <c r="F1" s="1" t="s">
        <v>60</v>
      </c>
    </row>
    <row r="2" spans="1:6" ht="30" customHeight="1">
      <c r="A2" s="10" t="s">
        <v>10</v>
      </c>
      <c r="B2" s="10" t="s">
        <v>45</v>
      </c>
      <c r="C2" s="10">
        <f>LOOKUP(2,1/(数据收集总表!K3:K31&lt;&gt;""),数据收集总表!K3:K31)</f>
        <v>37.25</v>
      </c>
      <c r="D2" s="10">
        <f>IF(C2&lt;=30,100,IF(C2&gt;=70,0,(70-C2)*2.5))</f>
        <v>81.875</v>
      </c>
      <c r="E2" s="10">
        <f>D2*VALUE(SUBSTITUTE(B2,"%",""))/100</f>
        <v>24.5625</v>
      </c>
      <c r="F2" s="10" t="s">
        <v>67</v>
      </c>
    </row>
    <row r="3" spans="1:6" ht="30" customHeight="1">
      <c r="A3" s="10" t="s">
        <v>11</v>
      </c>
      <c r="B3" s="10" t="s">
        <v>47</v>
      </c>
      <c r="C3" s="10">
        <f>LOOKUP(2,1/(数据收集总表!L3:L31&lt;&gt;""),数据收集总表!L3:L31)</f>
        <v>50</v>
      </c>
      <c r="D3" s="10">
        <f>C3</f>
        <v>50</v>
      </c>
      <c r="E3" s="10">
        <f>D3*VALUE(SUBSTITUTE(B3,"%",""))/100</f>
        <v>12.5</v>
      </c>
      <c r="F3" s="10" t="s">
        <v>68</v>
      </c>
    </row>
    <row r="4" spans="1:6" ht="30" customHeight="1">
      <c r="A4" s="10" t="s">
        <v>12</v>
      </c>
      <c r="B4" s="10" t="s">
        <v>47</v>
      </c>
      <c r="C4" s="10">
        <f>LOOKUP(2,1/(数据收集总表!M3:M31&lt;&gt;""),数据收集总表!M3:M31)</f>
        <v>-3.8899999999999997E-2</v>
      </c>
      <c r="D4" s="10">
        <f>IF(C4&gt;=0.5,100,IF(C4&lt;=-0.5,0,(C4+0.5)*100))</f>
        <v>46.11</v>
      </c>
      <c r="E4" s="10">
        <f>D4*VALUE(SUBSTITUTE(B4,"%",""))/100</f>
        <v>11.5275</v>
      </c>
      <c r="F4" s="10" t="s">
        <v>69</v>
      </c>
    </row>
    <row r="5" spans="1:6" ht="45" customHeight="1">
      <c r="A5" s="10" t="s">
        <v>13</v>
      </c>
      <c r="B5" s="10" t="s">
        <v>70</v>
      </c>
      <c r="C5" s="10">
        <f>LOOKUP(2,1/(数据收集总表!N3:N31&lt;&gt;""),数据收集总表!N3:N31)</f>
        <v>67</v>
      </c>
      <c r="D5" s="10">
        <f>C5</f>
        <v>67</v>
      </c>
      <c r="E5" s="10">
        <f>D5*VALUE(SUBSTITUTE(B5,"%",""))/100</f>
        <v>13.4</v>
      </c>
      <c r="F5" s="10" t="s">
        <v>71</v>
      </c>
    </row>
    <row r="6" spans="1:6" ht="15" customHeight="1">
      <c r="A6" s="11" t="s">
        <v>72</v>
      </c>
      <c r="B6" s="10"/>
      <c r="C6" s="10"/>
      <c r="D6" s="10">
        <f>SUM(E2:E5)</f>
        <v>61.99</v>
      </c>
      <c r="E6" s="10"/>
      <c r="F6" s="10"/>
    </row>
    <row r="7" spans="1:6" ht="15" customHeight="1">
      <c r="A7" s="11" t="s">
        <v>25</v>
      </c>
      <c r="B7" s="10"/>
      <c r="C7" s="10"/>
      <c r="D7" s="10">
        <f>1+(D6/100-0.5)*0.4</f>
        <v>1.04796</v>
      </c>
      <c r="E7" s="10"/>
      <c r="F7" s="10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2"/>
  <sheetViews>
    <sheetView workbookViewId="0">
      <selection activeCell="B3" sqref="B3"/>
    </sheetView>
  </sheetViews>
  <sheetFormatPr defaultRowHeight="14.5"/>
  <cols>
    <col min="1" max="5" width="20" customWidth="1"/>
  </cols>
  <sheetData>
    <row r="1" spans="1:2" ht="15.75" customHeight="1">
      <c r="A1" s="12" t="s">
        <v>73</v>
      </c>
    </row>
    <row r="3" spans="1:2">
      <c r="A3" s="13" t="s">
        <v>74</v>
      </c>
      <c r="B3" s="14">
        <f>LOOKUP(2,1/(数据收集总表!O3:O31&lt;&gt;""),数据收集总表!O3:O31)</f>
        <v>18.38</v>
      </c>
    </row>
    <row r="4" spans="1:2">
      <c r="A4" s="13" t="s">
        <v>75</v>
      </c>
      <c r="B4" s="14">
        <f>LOOKUP(2,1/(数据收集总表!P3:P31&lt;&gt;""),数据收集总表!P3:P31)</f>
        <v>1.65</v>
      </c>
    </row>
    <row r="5" spans="1:2">
      <c r="A5" s="13" t="s">
        <v>26</v>
      </c>
      <c r="B5" s="14">
        <f>IF(B3&gt;=35,0.5,IF(B3&gt;=25,IF(B4&gt;=3,0.7,0.8),IF(B3&gt;=15,IF(B4&gt;=3,0.9,1),IF(B4&gt;=3,1,1.2))))</f>
        <v>1</v>
      </c>
    </row>
    <row r="8" spans="1:2" ht="15.75" customHeight="1">
      <c r="A8" s="12" t="s">
        <v>76</v>
      </c>
    </row>
    <row r="10" spans="1:2">
      <c r="A10" s="13" t="s">
        <v>77</v>
      </c>
      <c r="B10" s="13">
        <f>LOOKUP(2,1/(数据收集总表!Q3:Q31&lt;&gt;""),数据收集总表!Q3:Q31)</f>
        <v>0</v>
      </c>
    </row>
    <row r="11" spans="1:2">
      <c r="A11" s="13" t="s">
        <v>78</v>
      </c>
      <c r="B11" s="13">
        <f>LOOKUP(2,1/(数据收集总表!R3:R31&lt;&gt;""),数据收集总表!R3:R31)</f>
        <v>118.26</v>
      </c>
    </row>
    <row r="12" spans="1:2">
      <c r="A12" s="13" t="s">
        <v>79</v>
      </c>
      <c r="B12" s="13">
        <f>LOOKUP(2,1/(数据收集总表!S3:S31&lt;&gt;""),数据收集总表!S3:S31)</f>
        <v>3.95</v>
      </c>
    </row>
    <row r="13" spans="1:2">
      <c r="A13" s="13" t="s">
        <v>80</v>
      </c>
      <c r="B13" s="13">
        <f>宏观信号计算表!D8</f>
        <v>0</v>
      </c>
    </row>
    <row r="14" spans="1:2">
      <c r="A14" s="13"/>
      <c r="B14" s="13"/>
    </row>
    <row r="15" spans="1:2">
      <c r="A15" s="13" t="s">
        <v>27</v>
      </c>
      <c r="B15" s="14">
        <f>IF(B10&gt;120,IF(B11&gt;120,IF(B12&gt;4,1.2,IF(B13=-1,0.95,1.1)),IF(B11&gt;100,IF(B13=-1,0.95,1.1),1.1)),IF(B10&gt;100,IF(B11&gt;120,IF(B12&gt;4,1,IF(B13=-1,0.98,1.05)),IF(B11&gt;100,IF(B13=-1,0.98,1.05),1.05)),1))</f>
        <v>1</v>
      </c>
    </row>
    <row r="18" spans="1:5">
      <c r="A18" t="s">
        <v>81</v>
      </c>
    </row>
    <row r="19" spans="1:5" ht="30" customHeight="1">
      <c r="A19" s="1" t="s">
        <v>82</v>
      </c>
      <c r="B19" s="1" t="s">
        <v>83</v>
      </c>
      <c r="C19" s="1" t="s">
        <v>84</v>
      </c>
      <c r="D19" s="1" t="s">
        <v>85</v>
      </c>
      <c r="E19" s="1" t="s">
        <v>86</v>
      </c>
    </row>
    <row r="20" spans="1:5">
      <c r="A20" s="10" t="s">
        <v>87</v>
      </c>
      <c r="B20" s="10" t="s">
        <v>88</v>
      </c>
      <c r="C20" s="10" t="s">
        <v>89</v>
      </c>
      <c r="D20" s="10" t="s">
        <v>90</v>
      </c>
      <c r="E20" s="10" t="s">
        <v>90</v>
      </c>
    </row>
    <row r="21" spans="1:5">
      <c r="A21" s="10" t="s">
        <v>91</v>
      </c>
      <c r="B21" s="10" t="s">
        <v>92</v>
      </c>
      <c r="C21" s="10" t="s">
        <v>93</v>
      </c>
      <c r="D21" s="10" t="s">
        <v>94</v>
      </c>
      <c r="E21" s="10" t="s">
        <v>94</v>
      </c>
    </row>
    <row r="22" spans="1:5">
      <c r="A22" s="10" t="s">
        <v>95</v>
      </c>
      <c r="B22" s="10" t="s">
        <v>96</v>
      </c>
      <c r="C22" s="10" t="s">
        <v>96</v>
      </c>
      <c r="D22" s="10" t="s">
        <v>96</v>
      </c>
      <c r="E22" s="10" t="s">
        <v>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workbookViewId="0">
      <selection activeCell="I24" sqref="I24"/>
    </sheetView>
  </sheetViews>
  <sheetFormatPr defaultRowHeight="14.5"/>
  <cols>
    <col min="1" max="4" width="18" customWidth="1"/>
  </cols>
  <sheetData>
    <row r="1" spans="1:4" ht="15.75" customHeight="1">
      <c r="A1" s="12" t="s">
        <v>97</v>
      </c>
    </row>
    <row r="3" spans="1:4" ht="15" customHeight="1">
      <c r="A3" s="1" t="s">
        <v>98</v>
      </c>
      <c r="B3" s="1" t="s">
        <v>39</v>
      </c>
      <c r="C3" s="1" t="s">
        <v>99</v>
      </c>
      <c r="D3" s="1" t="s">
        <v>100</v>
      </c>
    </row>
    <row r="4" spans="1:4">
      <c r="A4" s="10" t="s">
        <v>101</v>
      </c>
      <c r="B4" s="10" t="s">
        <v>23</v>
      </c>
      <c r="C4" s="10">
        <f>宏观信号计算表!E11</f>
        <v>4.9999999999999989E-2</v>
      </c>
      <c r="D4" s="10" t="s">
        <v>102</v>
      </c>
    </row>
    <row r="5" spans="1:4">
      <c r="A5" s="10" t="s">
        <v>103</v>
      </c>
      <c r="B5" s="10" t="s">
        <v>24</v>
      </c>
      <c r="C5" s="10">
        <f>验证层计算表!D6</f>
        <v>1.0489999999999999</v>
      </c>
      <c r="D5" s="10" t="s">
        <v>104</v>
      </c>
    </row>
    <row r="6" spans="1:4">
      <c r="A6" s="10" t="s">
        <v>105</v>
      </c>
      <c r="B6" s="10" t="s">
        <v>25</v>
      </c>
      <c r="C6" s="10">
        <f>趋势层计算表!D7</f>
        <v>1.04796</v>
      </c>
      <c r="D6" s="10" t="s">
        <v>106</v>
      </c>
    </row>
    <row r="7" spans="1:4">
      <c r="A7" s="10" t="s">
        <v>107</v>
      </c>
      <c r="B7" s="10" t="s">
        <v>26</v>
      </c>
      <c r="C7" s="10">
        <f>流动性地缘乘数表!B5</f>
        <v>1</v>
      </c>
      <c r="D7" s="10" t="s">
        <v>108</v>
      </c>
    </row>
    <row r="8" spans="1:4">
      <c r="A8" s="10" t="s">
        <v>109</v>
      </c>
      <c r="B8" s="10" t="s">
        <v>27</v>
      </c>
      <c r="C8" s="10">
        <f>流动性地缘乘数表!B15</f>
        <v>1</v>
      </c>
      <c r="D8" s="10" t="s">
        <v>110</v>
      </c>
    </row>
    <row r="9" spans="1:4">
      <c r="A9" s="10" t="s">
        <v>111</v>
      </c>
      <c r="B9" s="10" t="s">
        <v>112</v>
      </c>
      <c r="C9" s="20">
        <f>C4*C5*C6*C7*C8</f>
        <v>5.4965501999999979E-2</v>
      </c>
      <c r="D9" s="10" t="s">
        <v>113</v>
      </c>
    </row>
    <row r="10" spans="1:4">
      <c r="A10" s="10" t="s">
        <v>114</v>
      </c>
      <c r="B10" s="10" t="s">
        <v>115</v>
      </c>
      <c r="C10" s="10" t="e">
        <f>IF(强制规则检查表!E2&lt;&gt;"","触发","未触发")</f>
        <v>#REF!</v>
      </c>
      <c r="D10" s="10" t="s">
        <v>116</v>
      </c>
    </row>
    <row r="11" spans="1:4">
      <c r="A11" s="10" t="s">
        <v>117</v>
      </c>
      <c r="B11" s="10" t="s">
        <v>118</v>
      </c>
      <c r="C11" s="20" t="e">
        <f>IF(强制规则检查表!E2&lt;&gt;"",强制规则检查表!D2,C9)</f>
        <v>#REF!</v>
      </c>
      <c r="D11" s="10" t="s">
        <v>119</v>
      </c>
    </row>
    <row r="14" spans="1:4" ht="15" customHeight="1">
      <c r="A14" s="1" t="s">
        <v>120</v>
      </c>
      <c r="B14" s="1" t="s">
        <v>121</v>
      </c>
      <c r="C14" s="1" t="s">
        <v>122</v>
      </c>
    </row>
    <row r="15" spans="1:4">
      <c r="A15" s="10" t="s">
        <v>123</v>
      </c>
      <c r="B15" s="10" t="s">
        <v>124</v>
      </c>
      <c r="C15" s="10" t="s">
        <v>125</v>
      </c>
    </row>
    <row r="16" spans="1:4">
      <c r="A16" s="10" t="s">
        <v>126</v>
      </c>
      <c r="B16" s="10" t="s">
        <v>127</v>
      </c>
      <c r="C16" s="10" t="s">
        <v>128</v>
      </c>
    </row>
    <row r="17" spans="1:3">
      <c r="A17" s="10" t="s">
        <v>129</v>
      </c>
      <c r="B17" s="10" t="s">
        <v>130</v>
      </c>
      <c r="C17" s="10" t="s">
        <v>131</v>
      </c>
    </row>
    <row r="18" spans="1:3">
      <c r="A18" s="10" t="s">
        <v>132</v>
      </c>
      <c r="B18" s="10" t="s">
        <v>133</v>
      </c>
      <c r="C18" s="10" t="s">
        <v>134</v>
      </c>
    </row>
    <row r="19" spans="1:3">
      <c r="A19" s="10" t="s">
        <v>135</v>
      </c>
      <c r="B19" s="10" t="s">
        <v>136</v>
      </c>
      <c r="C19" s="10" t="s">
        <v>137</v>
      </c>
    </row>
    <row r="20" spans="1:3">
      <c r="A20" s="10" t="s">
        <v>138</v>
      </c>
      <c r="B20" s="10" t="s">
        <v>139</v>
      </c>
      <c r="C20" s="10" t="s">
        <v>140</v>
      </c>
    </row>
    <row r="22" spans="1:3" ht="15" customHeight="1">
      <c r="A22" s="15" t="s">
        <v>141</v>
      </c>
      <c r="B22" t="e">
        <f>IF(C11&gt;=0.6,"🔥 强力看多",IF(C11&gt;=0.35,"✅ 看多",IF(C11&gt;=0.15,"🟡 偏多",IF(C11&gt;=-0.15,"⚪ 中性",IF(C11&gt;=-0.35,"🟠 偏空","🔴 看空")))))</f>
        <v>#REF!</v>
      </c>
    </row>
    <row r="23" spans="1:3" ht="15" customHeight="1">
      <c r="A23" s="15" t="s">
        <v>142</v>
      </c>
      <c r="B23" s="21" t="e">
        <f>IF(C11&gt;=0.6,B15,IF(C11&gt;=0.35,B16,IF(C11&gt;=0.15,B17,IF(C11&gt;=-0.15,B18,IF(C11&gt;=-0.35,B19,B20)))))</f>
        <v>#REF!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workbookViewId="0">
      <selection activeCell="C2" sqref="C2"/>
    </sheetView>
  </sheetViews>
  <sheetFormatPr defaultRowHeight="14.5"/>
  <cols>
    <col min="1" max="5" width="22" customWidth="1"/>
  </cols>
  <sheetData>
    <row r="1" spans="1:5" ht="15" customHeight="1">
      <c r="A1" s="1" t="s">
        <v>143</v>
      </c>
      <c r="B1" s="1" t="s">
        <v>144</v>
      </c>
      <c r="C1" s="1" t="s">
        <v>145</v>
      </c>
      <c r="D1" s="1" t="s">
        <v>146</v>
      </c>
      <c r="E1" s="1" t="s">
        <v>147</v>
      </c>
    </row>
    <row r="2" spans="1:5" ht="30" customHeight="1">
      <c r="A2" s="10" t="s">
        <v>148</v>
      </c>
      <c r="B2" s="10" t="s">
        <v>149</v>
      </c>
      <c r="C2" s="10" t="e">
        <f>AND(流动性地缘乘数表!B3&gt;=35,数据收集总表!#REF!&lt;=-0.01,数据收集总表!#REF!&gt;=0.005)</f>
        <v>#REF!</v>
      </c>
      <c r="D2" s="10">
        <v>-0.5</v>
      </c>
      <c r="E2" s="10" t="e">
        <f>IF(C2=TRUE,"触发","")</f>
        <v>#REF!</v>
      </c>
    </row>
    <row r="3" spans="1:5">
      <c r="A3" s="10" t="s">
        <v>150</v>
      </c>
      <c r="B3" s="10" t="s">
        <v>151</v>
      </c>
      <c r="C3" s="10" t="b">
        <f>趋势层计算表!D6&lt;20</f>
        <v>0</v>
      </c>
      <c r="D3" s="10">
        <v>-0.2</v>
      </c>
      <c r="E3" s="10" t="str">
        <f>IF(C3=TRUE,"触发","")</f>
        <v/>
      </c>
    </row>
    <row r="4" spans="1:5">
      <c r="A4" s="10" t="s">
        <v>152</v>
      </c>
      <c r="B4" s="10" t="s">
        <v>153</v>
      </c>
      <c r="C4" s="10" t="b">
        <f>趋势层计算表!D6&gt;80</f>
        <v>0</v>
      </c>
      <c r="D4" s="10">
        <v>0.3</v>
      </c>
      <c r="E4" s="10" t="str">
        <f>IF(C4=TRUE,"触发","")</f>
        <v/>
      </c>
    </row>
    <row r="5" spans="1:5">
      <c r="A5" s="10" t="s">
        <v>154</v>
      </c>
      <c r="B5" s="10" t="s">
        <v>155</v>
      </c>
      <c r="C5" s="10" t="b">
        <f>FALSE</f>
        <v>0</v>
      </c>
      <c r="D5" s="10">
        <v>0.15</v>
      </c>
      <c r="E5" s="10" t="str">
        <f>IF(C5=TRUE,"触发","")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7"/>
  <sheetViews>
    <sheetView workbookViewId="0">
      <selection activeCell="A3" sqref="A3"/>
    </sheetView>
  </sheetViews>
  <sheetFormatPr defaultRowHeight="14.5"/>
  <cols>
    <col min="1" max="8" width="14" customWidth="1"/>
  </cols>
  <sheetData>
    <row r="1" spans="1:8" ht="15" customHeight="1">
      <c r="A1" s="1" t="s">
        <v>22</v>
      </c>
      <c r="B1" s="1" t="s">
        <v>156</v>
      </c>
      <c r="C1" s="1" t="s">
        <v>157</v>
      </c>
      <c r="D1" s="1" t="s">
        <v>158</v>
      </c>
      <c r="E1" s="1" t="s">
        <v>159</v>
      </c>
      <c r="F1" s="1" t="s">
        <v>160</v>
      </c>
      <c r="G1" s="1" t="s">
        <v>161</v>
      </c>
      <c r="H1" s="1" t="s">
        <v>162</v>
      </c>
    </row>
    <row r="2" spans="1:8">
      <c r="A2" s="17" t="s">
        <v>29</v>
      </c>
      <c r="B2" s="17" t="s">
        <v>163</v>
      </c>
      <c r="C2" s="17" t="s">
        <v>164</v>
      </c>
      <c r="D2" s="17" t="s">
        <v>165</v>
      </c>
      <c r="E2" s="17" t="s">
        <v>166</v>
      </c>
      <c r="F2" s="13"/>
      <c r="G2" s="13"/>
      <c r="H2" s="13"/>
    </row>
    <row r="3" spans="1:8">
      <c r="A3" s="13" t="s">
        <v>30</v>
      </c>
      <c r="B3" s="13" t="s">
        <v>167</v>
      </c>
      <c r="C3" s="13" t="s">
        <v>168</v>
      </c>
      <c r="D3" s="13" t="s">
        <v>169</v>
      </c>
      <c r="E3" s="13" t="s">
        <v>170</v>
      </c>
      <c r="F3" s="13"/>
      <c r="G3" s="13"/>
      <c r="H3" s="13" t="s">
        <v>171</v>
      </c>
    </row>
    <row r="4" spans="1:8" ht="15">
      <c r="A4" s="22" t="s">
        <v>172</v>
      </c>
      <c r="B4" s="13" t="s">
        <v>173</v>
      </c>
      <c r="C4" s="13" t="s">
        <v>174</v>
      </c>
      <c r="D4" s="13" t="s">
        <v>169</v>
      </c>
      <c r="E4" s="13" t="s">
        <v>175</v>
      </c>
      <c r="F4" s="13"/>
      <c r="G4" s="13"/>
      <c r="H4" s="13" t="s">
        <v>176</v>
      </c>
    </row>
    <row r="5" spans="1:8">
      <c r="A5" s="13" t="s">
        <v>177</v>
      </c>
      <c r="B5" s="13" t="s">
        <v>173</v>
      </c>
      <c r="C5" s="13" t="s">
        <v>178</v>
      </c>
      <c r="D5" s="13" t="s">
        <v>169</v>
      </c>
      <c r="E5" s="13" t="s">
        <v>175</v>
      </c>
      <c r="F5" s="13"/>
      <c r="G5" s="13"/>
      <c r="H5" s="13" t="s">
        <v>179</v>
      </c>
    </row>
    <row r="6" spans="1:8">
      <c r="A6" s="13" t="s">
        <v>180</v>
      </c>
      <c r="B6" s="13" t="s">
        <v>173</v>
      </c>
      <c r="C6" s="13" t="s">
        <v>181</v>
      </c>
      <c r="D6" s="13" t="s">
        <v>182</v>
      </c>
      <c r="E6" s="13" t="s">
        <v>183</v>
      </c>
      <c r="F6" s="13"/>
      <c r="G6" s="13"/>
      <c r="H6" s="13"/>
    </row>
    <row r="7" spans="1:8">
      <c r="A7" s="13" t="s">
        <v>184</v>
      </c>
      <c r="B7" s="13" t="s">
        <v>173</v>
      </c>
      <c r="C7" s="13" t="s">
        <v>185</v>
      </c>
      <c r="D7" s="13" t="s">
        <v>182</v>
      </c>
      <c r="E7" s="13" t="s">
        <v>186</v>
      </c>
      <c r="F7" s="13"/>
      <c r="G7" s="13"/>
      <c r="H7" s="13"/>
    </row>
    <row r="8" spans="1:8">
      <c r="A8" s="13" t="s">
        <v>187</v>
      </c>
      <c r="B8" s="13" t="s">
        <v>173</v>
      </c>
      <c r="C8" s="13" t="s">
        <v>188</v>
      </c>
      <c r="D8" s="13" t="s">
        <v>189</v>
      </c>
      <c r="E8" s="13" t="s">
        <v>183</v>
      </c>
      <c r="F8" s="13"/>
      <c r="G8" s="13"/>
      <c r="H8" s="13" t="s">
        <v>190</v>
      </c>
    </row>
    <row r="9" spans="1:8">
      <c r="A9" s="13" t="s">
        <v>31</v>
      </c>
      <c r="B9" s="13" t="s">
        <v>191</v>
      </c>
      <c r="C9" s="13" t="s">
        <v>192</v>
      </c>
      <c r="D9" s="13" t="s">
        <v>193</v>
      </c>
      <c r="E9" s="13" t="s">
        <v>194</v>
      </c>
      <c r="F9" s="13"/>
      <c r="G9" s="13"/>
      <c r="H9" s="13" t="s">
        <v>195</v>
      </c>
    </row>
    <row r="10" spans="1:8">
      <c r="A10" s="13" t="s">
        <v>31</v>
      </c>
      <c r="B10" s="13" t="s">
        <v>191</v>
      </c>
      <c r="C10" s="13" t="s">
        <v>192</v>
      </c>
      <c r="D10" s="13" t="s">
        <v>193</v>
      </c>
      <c r="E10" s="13" t="s">
        <v>194</v>
      </c>
      <c r="F10" s="13"/>
      <c r="G10" s="13"/>
      <c r="H10" s="13" t="s">
        <v>196</v>
      </c>
    </row>
    <row r="11" spans="1:8">
      <c r="A11" s="13" t="s">
        <v>31</v>
      </c>
      <c r="B11" s="13" t="s">
        <v>191</v>
      </c>
      <c r="C11" s="13" t="s">
        <v>192</v>
      </c>
      <c r="D11" s="13" t="s">
        <v>193</v>
      </c>
      <c r="E11" s="13" t="s">
        <v>194</v>
      </c>
      <c r="F11" s="13"/>
      <c r="G11" s="13"/>
      <c r="H11" s="13" t="s">
        <v>197</v>
      </c>
    </row>
    <row r="12" spans="1:8">
      <c r="A12" s="13" t="s">
        <v>31</v>
      </c>
      <c r="B12" s="13" t="s">
        <v>191</v>
      </c>
      <c r="C12" s="13" t="s">
        <v>192</v>
      </c>
      <c r="D12" s="13" t="s">
        <v>193</v>
      </c>
      <c r="E12" s="13" t="s">
        <v>194</v>
      </c>
      <c r="F12" s="13"/>
      <c r="G12" s="13"/>
      <c r="H12" s="13" t="s">
        <v>198</v>
      </c>
    </row>
    <row r="13" spans="1:8">
      <c r="A13" s="13" t="s">
        <v>199</v>
      </c>
      <c r="B13" s="13"/>
      <c r="C13" s="13"/>
      <c r="D13" s="13"/>
      <c r="E13" s="13"/>
      <c r="F13" s="13"/>
      <c r="G13" s="13"/>
      <c r="H13" s="13"/>
    </row>
    <row r="14" spans="1:8">
      <c r="A14" s="13" t="s">
        <v>200</v>
      </c>
      <c r="B14" s="13" t="s">
        <v>201</v>
      </c>
      <c r="C14" s="13" t="s">
        <v>183</v>
      </c>
      <c r="D14" s="13" t="s">
        <v>202</v>
      </c>
      <c r="E14" s="13" t="s">
        <v>203</v>
      </c>
      <c r="F14" s="13"/>
      <c r="G14" s="13"/>
      <c r="H14" s="13"/>
    </row>
    <row r="15" spans="1:8">
      <c r="A15" s="13" t="s">
        <v>32</v>
      </c>
      <c r="B15" s="13" t="s">
        <v>204</v>
      </c>
      <c r="C15" s="13" t="s">
        <v>205</v>
      </c>
      <c r="D15" s="13" t="s">
        <v>169</v>
      </c>
      <c r="E15" s="13" t="s">
        <v>206</v>
      </c>
      <c r="F15" s="13"/>
      <c r="G15" s="13"/>
      <c r="H15" s="13" t="s">
        <v>207</v>
      </c>
    </row>
    <row r="16" spans="1:8">
      <c r="A16" s="13" t="s">
        <v>32</v>
      </c>
      <c r="B16" s="13" t="s">
        <v>204</v>
      </c>
      <c r="C16" s="13" t="s">
        <v>208</v>
      </c>
      <c r="D16" s="13" t="s">
        <v>169</v>
      </c>
      <c r="E16" s="13" t="s">
        <v>209</v>
      </c>
      <c r="F16" s="13"/>
      <c r="G16" s="13"/>
      <c r="H16" s="13" t="s">
        <v>210</v>
      </c>
    </row>
    <row r="17" spans="1:8">
      <c r="A17" s="13" t="s">
        <v>32</v>
      </c>
      <c r="B17" s="13" t="s">
        <v>204</v>
      </c>
      <c r="C17" s="13" t="s">
        <v>211</v>
      </c>
      <c r="D17" s="13" t="s">
        <v>169</v>
      </c>
      <c r="E17" s="13" t="s">
        <v>212</v>
      </c>
      <c r="F17" s="13"/>
      <c r="G17" s="13"/>
      <c r="H17" s="13" t="s">
        <v>213</v>
      </c>
    </row>
    <row r="18" spans="1:8">
      <c r="A18" s="13" t="s">
        <v>32</v>
      </c>
      <c r="B18" s="13" t="s">
        <v>204</v>
      </c>
      <c r="C18" s="13" t="s">
        <v>211</v>
      </c>
      <c r="D18" s="13" t="s">
        <v>169</v>
      </c>
      <c r="E18" s="13" t="s">
        <v>214</v>
      </c>
      <c r="F18" s="13"/>
      <c r="G18" s="13"/>
      <c r="H18" s="13" t="s">
        <v>213</v>
      </c>
    </row>
    <row r="19" spans="1:8">
      <c r="A19" s="13" t="s">
        <v>215</v>
      </c>
      <c r="B19" s="13" t="s">
        <v>204</v>
      </c>
      <c r="C19" s="13" t="s">
        <v>216</v>
      </c>
      <c r="D19" s="13" t="s">
        <v>169</v>
      </c>
      <c r="E19" s="13" t="s">
        <v>217</v>
      </c>
      <c r="F19" s="13" t="s">
        <v>169</v>
      </c>
      <c r="G19" s="13" t="s">
        <v>169</v>
      </c>
      <c r="H19" s="13" t="s">
        <v>218</v>
      </c>
    </row>
    <row r="20" spans="1:8">
      <c r="A20" s="13" t="s">
        <v>219</v>
      </c>
      <c r="B20" s="13" t="s">
        <v>220</v>
      </c>
      <c r="C20" s="13" t="s">
        <v>221</v>
      </c>
      <c r="D20" s="13" t="s">
        <v>169</v>
      </c>
      <c r="E20" s="13" t="s">
        <v>222</v>
      </c>
      <c r="F20" s="13"/>
      <c r="G20" s="13"/>
      <c r="H20" s="13" t="s">
        <v>223</v>
      </c>
    </row>
    <row r="21" spans="1:8">
      <c r="A21" s="13" t="s">
        <v>224</v>
      </c>
      <c r="B21" s="13" t="s">
        <v>225</v>
      </c>
      <c r="C21" s="13" t="s">
        <v>226</v>
      </c>
      <c r="D21" s="13" t="s">
        <v>169</v>
      </c>
      <c r="E21" s="13" t="s">
        <v>222</v>
      </c>
      <c r="F21" s="13"/>
      <c r="G21" s="13"/>
      <c r="H21" s="13" t="s">
        <v>227</v>
      </c>
    </row>
    <row r="22" spans="1:8">
      <c r="A22" s="13"/>
      <c r="B22" s="13"/>
      <c r="C22" s="13"/>
      <c r="D22" s="13"/>
      <c r="E22" s="13"/>
      <c r="F22" s="13"/>
      <c r="G22" s="13"/>
      <c r="H22" s="13"/>
    </row>
    <row r="23" spans="1:8">
      <c r="A23" s="13"/>
      <c r="B23" s="13"/>
      <c r="C23" s="13"/>
      <c r="D23" s="13"/>
      <c r="E23" s="13"/>
      <c r="F23" s="13"/>
      <c r="G23" s="13"/>
      <c r="H23" s="13"/>
    </row>
    <row r="24" spans="1:8">
      <c r="A24" s="13"/>
      <c r="B24" s="13"/>
      <c r="C24" s="13"/>
      <c r="D24" s="13"/>
      <c r="E24" s="13"/>
      <c r="F24" s="13"/>
      <c r="G24" s="13"/>
      <c r="H24" s="13"/>
    </row>
    <row r="25" spans="1:8">
      <c r="A25" s="13"/>
      <c r="B25" s="13"/>
      <c r="C25" s="13"/>
      <c r="D25" s="13"/>
      <c r="E25" s="13"/>
      <c r="F25" s="13"/>
      <c r="G25" s="13"/>
      <c r="H25" s="13"/>
    </row>
    <row r="26" spans="1:8">
      <c r="A26" s="13"/>
      <c r="B26" s="13"/>
      <c r="C26" s="13"/>
      <c r="D26" s="13"/>
      <c r="E26" s="13"/>
      <c r="F26" s="13"/>
      <c r="G26" s="13"/>
      <c r="H26" s="13"/>
    </row>
    <row r="27" spans="1:8">
      <c r="A27" s="13"/>
      <c r="B27" s="13"/>
      <c r="C27" s="13"/>
      <c r="D27" s="13"/>
      <c r="E27" s="13"/>
      <c r="F27" s="13"/>
      <c r="G27" s="13"/>
      <c r="H27" s="13"/>
    </row>
    <row r="28" spans="1:8">
      <c r="A28" s="13"/>
      <c r="B28" s="13"/>
      <c r="C28" s="13"/>
      <c r="D28" s="13"/>
      <c r="E28" s="13"/>
      <c r="F28" s="13"/>
      <c r="G28" s="13"/>
      <c r="H28" s="13"/>
    </row>
    <row r="29" spans="1:8">
      <c r="A29" t="s">
        <v>228</v>
      </c>
      <c r="B29" t="s">
        <v>229</v>
      </c>
      <c r="C29" t="s">
        <v>230</v>
      </c>
      <c r="D29" t="s">
        <v>31</v>
      </c>
      <c r="E29" t="s">
        <v>231</v>
      </c>
    </row>
    <row r="30" spans="1:8">
      <c r="A30" t="s">
        <v>232</v>
      </c>
      <c r="B30" t="s">
        <v>233</v>
      </c>
      <c r="C30" t="s">
        <v>234</v>
      </c>
      <c r="D30" t="s">
        <v>183</v>
      </c>
    </row>
    <row r="31" spans="1:8">
      <c r="A31" t="s">
        <v>31</v>
      </c>
      <c r="B31" t="s">
        <v>235</v>
      </c>
      <c r="C31" t="s">
        <v>183</v>
      </c>
      <c r="D31" t="s">
        <v>236</v>
      </c>
    </row>
    <row r="32" spans="1:8">
      <c r="A32" t="s">
        <v>31</v>
      </c>
      <c r="B32" t="s">
        <v>237</v>
      </c>
      <c r="C32" t="s">
        <v>183</v>
      </c>
      <c r="D32" t="s">
        <v>238</v>
      </c>
    </row>
    <row r="33" spans="1:8">
      <c r="A33" t="s">
        <v>239</v>
      </c>
      <c r="B33" t="s">
        <v>173</v>
      </c>
      <c r="C33" t="s">
        <v>240</v>
      </c>
      <c r="D33" t="s">
        <v>169</v>
      </c>
      <c r="E33" t="s">
        <v>241</v>
      </c>
    </row>
    <row r="34" spans="1:8">
      <c r="A34" t="s">
        <v>242</v>
      </c>
      <c r="B34" t="s">
        <v>173</v>
      </c>
      <c r="C34" t="s">
        <v>243</v>
      </c>
      <c r="D34" t="s">
        <v>169</v>
      </c>
      <c r="E34" t="s">
        <v>175</v>
      </c>
      <c r="H34" t="s">
        <v>244</v>
      </c>
    </row>
    <row r="35" spans="1:8">
      <c r="A35" t="s">
        <v>31</v>
      </c>
      <c r="B35" t="s">
        <v>245</v>
      </c>
      <c r="C35" t="s">
        <v>191</v>
      </c>
      <c r="D35" t="s">
        <v>246</v>
      </c>
      <c r="E35" t="s">
        <v>175</v>
      </c>
    </row>
    <row r="36" spans="1:8">
      <c r="A36" t="s">
        <v>31</v>
      </c>
      <c r="B36" t="s">
        <v>247</v>
      </c>
      <c r="C36" t="s">
        <v>191</v>
      </c>
      <c r="D36" t="s">
        <v>248</v>
      </c>
      <c r="E36" t="s">
        <v>175</v>
      </c>
    </row>
    <row r="37" spans="1:8">
      <c r="A37" t="s">
        <v>31</v>
      </c>
      <c r="B37" t="s">
        <v>249</v>
      </c>
      <c r="C37" t="s">
        <v>191</v>
      </c>
      <c r="D37" t="s">
        <v>250</v>
      </c>
      <c r="E37" t="s">
        <v>251</v>
      </c>
    </row>
    <row r="38" spans="1:8">
      <c r="A38" t="s">
        <v>31</v>
      </c>
      <c r="B38" t="s">
        <v>252</v>
      </c>
      <c r="C38" t="s">
        <v>253</v>
      </c>
      <c r="D38" t="s">
        <v>250</v>
      </c>
      <c r="E38" t="s">
        <v>254</v>
      </c>
    </row>
    <row r="39" spans="1:8">
      <c r="A39" t="s">
        <v>31</v>
      </c>
      <c r="B39" t="s">
        <v>255</v>
      </c>
      <c r="C39" t="s">
        <v>191</v>
      </c>
      <c r="D39" t="s">
        <v>256</v>
      </c>
      <c r="E39" t="s">
        <v>175</v>
      </c>
    </row>
    <row r="40" spans="1:8">
      <c r="A40" t="s">
        <v>31</v>
      </c>
      <c r="B40" t="s">
        <v>257</v>
      </c>
      <c r="C40" t="s">
        <v>191</v>
      </c>
      <c r="D40" t="s">
        <v>258</v>
      </c>
      <c r="E40" t="s">
        <v>251</v>
      </c>
    </row>
    <row r="41" spans="1:8">
      <c r="A41" t="s">
        <v>31</v>
      </c>
      <c r="B41" t="s">
        <v>259</v>
      </c>
      <c r="C41" t="s">
        <v>253</v>
      </c>
      <c r="D41" t="s">
        <v>258</v>
      </c>
      <c r="E41" t="s">
        <v>260</v>
      </c>
    </row>
    <row r="42" spans="1:8">
      <c r="A42" t="s">
        <v>31</v>
      </c>
      <c r="B42" t="s">
        <v>261</v>
      </c>
      <c r="C42" t="s">
        <v>191</v>
      </c>
      <c r="D42" t="s">
        <v>262</v>
      </c>
      <c r="E42" t="s">
        <v>175</v>
      </c>
    </row>
    <row r="43" spans="1:8">
      <c r="A43" t="s">
        <v>31</v>
      </c>
      <c r="B43" t="s">
        <v>263</v>
      </c>
      <c r="C43" t="s">
        <v>191</v>
      </c>
      <c r="D43" t="s">
        <v>264</v>
      </c>
      <c r="E43" t="s">
        <v>265</v>
      </c>
    </row>
    <row r="44" spans="1:8">
      <c r="A44" t="s">
        <v>266</v>
      </c>
      <c r="B44" t="s">
        <v>267</v>
      </c>
      <c r="C44" t="s">
        <v>183</v>
      </c>
      <c r="D44" t="s">
        <v>268</v>
      </c>
    </row>
    <row r="45" spans="1:8">
      <c r="A45" t="s">
        <v>269</v>
      </c>
      <c r="B45" t="s">
        <v>270</v>
      </c>
    </row>
    <row r="46" spans="1:8">
      <c r="A46" t="s">
        <v>271</v>
      </c>
      <c r="B46" t="s">
        <v>272</v>
      </c>
    </row>
    <row r="47" spans="1:8">
      <c r="A47" t="s">
        <v>273</v>
      </c>
      <c r="B47" t="s">
        <v>274</v>
      </c>
      <c r="C47" t="s">
        <v>120</v>
      </c>
      <c r="D47" t="s">
        <v>275</v>
      </c>
      <c r="E47" t="s">
        <v>276</v>
      </c>
      <c r="F47" t="s">
        <v>277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数据收集总表</vt:lpstr>
      <vt:lpstr>宏观信号计算表</vt:lpstr>
      <vt:lpstr>验证层计算表</vt:lpstr>
      <vt:lpstr>趋势层计算表</vt:lpstr>
      <vt:lpstr>流动性地缘乘数表</vt:lpstr>
      <vt:lpstr>综合信号计算表</vt:lpstr>
      <vt:lpstr>强制规则检查表</vt:lpstr>
      <vt:lpstr>操作日志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Zhang, Zhaoming</cp:lastModifiedBy>
  <dcterms:created xsi:type="dcterms:W3CDTF">2026-04-27T06:48:31Z</dcterms:created>
  <dcterms:modified xsi:type="dcterms:W3CDTF">2026-06-08T08:52:48Z</dcterms:modified>
</cp:coreProperties>
</file>