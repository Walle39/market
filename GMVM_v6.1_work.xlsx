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4" autoFilterDateGrouping="1"/>
  </bookViews>
  <sheets>
    <sheet xmlns:r="http://schemas.openxmlformats.org/officeDocument/2006/relationships" name="数据收集总表" sheetId="1" state="visible" r:id="rId1"/>
    <sheet xmlns:r="http://schemas.openxmlformats.org/officeDocument/2006/relationships" name="宏观信号计算表" sheetId="2" state="visible" r:id="rId2"/>
    <sheet xmlns:r="http://schemas.openxmlformats.org/officeDocument/2006/relationships" name="验证层计算表" sheetId="3" state="visible" r:id="rId3"/>
    <sheet xmlns:r="http://schemas.openxmlformats.org/officeDocument/2006/relationships" name="趋势层计算表" sheetId="4" state="visible" r:id="rId4"/>
    <sheet xmlns:r="http://schemas.openxmlformats.org/officeDocument/2006/relationships" name="流动性地缘乘数表" sheetId="5" state="visible" r:id="rId5"/>
    <sheet xmlns:r="http://schemas.openxmlformats.org/officeDocument/2006/relationships" name="综合信号计算表" sheetId="6" state="visible" r:id="rId6"/>
    <sheet xmlns:r="http://schemas.openxmlformats.org/officeDocument/2006/relationships" name="强制规则检查表" sheetId="7" state="visible" r:id="rId7"/>
    <sheet xmlns:r="http://schemas.openxmlformats.org/officeDocument/2006/relationships" name="操作日志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8">
    <font>
      <name val="宋体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sz val="9"/>
    </font>
    <font>
      <name val="Calibri"/>
      <b val="1"/>
      <sz val="11"/>
    </font>
    <font>
      <name val="Calibri"/>
      <b val="1"/>
      <sz val="12"/>
    </font>
    <font>
      <name val="宋体"/>
      <charset val="134"/>
      <family val="3"/>
      <sz val="9"/>
      <scheme val="minor"/>
    </font>
    <font>
      <name val="宋体"/>
      <charset val="134"/>
      <b val="1"/>
      <sz val="11"/>
    </font>
    <font>
      <name val="宋体"/>
      <charset val="134"/>
      <b val="1"/>
      <sz val="11"/>
    </font>
  </fonts>
  <fills count="15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9D9D9"/>
        <bgColor rgb="FFD9D9D9"/>
      </patternFill>
    </fill>
    <fill>
      <patternFill patternType="solid">
        <fgColor rgb="FFBDD7EE"/>
        <bgColor rgb="FFBDD7EE"/>
      </patternFill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solid">
        <fgColor rgb="FFF4CCCC"/>
        <bgColor rgb="FFF4CCCC"/>
      </patternFill>
    </fill>
    <fill>
      <patternFill patternType="solid">
        <fgColor rgb="FFE6B8AF"/>
        <bgColor rgb="FFE6B8AF"/>
      </patternFill>
    </fill>
    <fill>
      <patternFill patternType="solid">
        <fgColor rgb="FFE0E0E0"/>
        <bgColor rgb="FFE0E0E0"/>
      </patternFill>
    </fill>
    <fill>
      <patternFill patternType="solid">
        <fgColor rgb="FFFFF2CC"/>
        <bgColor rgb="FFFFF2CC"/>
      </patternFill>
    </fill>
    <fill>
      <patternFill patternType="solid">
        <fgColor rgb="FFEEEEEE"/>
      </patternFill>
    </fill>
    <fill>
      <patternFill patternType="solid">
        <fgColor rgb="FFE3F2FD"/>
      </patternFill>
    </fill>
    <fill>
      <patternFill patternType="solid">
        <fgColor rgb="FFFFF3CD"/>
        <bgColor rgb="FFFFF3CD"/>
      </patternFill>
    </fill>
    <fill>
      <patternFill patternType="solid">
        <fgColor rgb="FFE8F5E9"/>
        <bgColor rgb="FFE8F5E9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0" borderId="1" pivotButton="0" quotePrefix="0" xfId="0"/>
    <xf numFmtId="0" fontId="0" fillId="10" borderId="1" pivotButton="0" quotePrefix="0" xfId="0"/>
    <xf numFmtId="0" fontId="3" fillId="0" borderId="0" pivotButton="0" quotePrefix="0" xfId="0"/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 wrapText="1"/>
    </xf>
    <xf numFmtId="164" fontId="0" fillId="1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/>
    </xf>
    <xf numFmtId="0" fontId="6" fillId="12" borderId="1" pivotButton="0" quotePrefix="0" xfId="0"/>
    <xf numFmtId="0" fontId="7" fillId="13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/>
    </xf>
    <xf numFmtId="164" fontId="0" fillId="10" borderId="1" applyAlignment="1" pivotButton="0" quotePrefix="0" xfId="0">
      <alignment horizontal="center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62"/>
  <sheetViews>
    <sheetView topLeftCell="F1" workbookViewId="0">
      <selection activeCell="V3" sqref="V3"/>
    </sheetView>
  </sheetViews>
  <sheetFormatPr baseColWidth="8" defaultRowHeight="13.5"/>
  <cols>
    <col width="16" customWidth="1" min="1" max="1"/>
    <col width="14" customWidth="1" min="2" max="20"/>
    <col width="11.25" customWidth="1" min="21" max="21"/>
    <col width="11.125" customWidth="1" min="22" max="22"/>
  </cols>
  <sheetData>
    <row r="1" ht="30" customHeight="1">
      <c r="A1" s="1" t="inlineStr">
        <is>
          <t>收集日期</t>
        </is>
      </c>
      <c r="B1" s="1" t="inlineStr">
        <is>
          <t>央行购金(吨)</t>
        </is>
      </c>
      <c r="C1" s="1" t="inlineStr">
        <is>
          <t>M2同比增速(%)</t>
        </is>
      </c>
      <c r="D1" s="1" t="inlineStr">
        <is>
          <t>美债/GDP比率(%)</t>
        </is>
      </c>
      <c r="E1" s="1" t="inlineStr">
        <is>
          <t>Fed预期差(bp)</t>
        </is>
      </c>
      <c r="F1" s="1" t="inlineStr">
        <is>
          <t>10Y TIPS(%)</t>
        </is>
      </c>
      <c r="G1" s="1" t="inlineStr">
        <is>
          <t>DXY</t>
        </is>
      </c>
      <c r="H1" s="1" t="inlineStr">
        <is>
          <t>ETF持仓4周变化(%)</t>
        </is>
      </c>
      <c r="I1" s="1" t="inlineStr">
        <is>
          <t>金银比</t>
        </is>
      </c>
      <c r="J1" s="1" t="inlineStr">
        <is>
          <t>金价/AISC</t>
        </is>
      </c>
      <c r="K1" s="1" t="inlineStr">
        <is>
          <t>RSI14</t>
        </is>
      </c>
      <c r="L1" s="1" t="inlineStr">
        <is>
          <t>MACD背离</t>
        </is>
      </c>
      <c r="M1" s="1" t="inlineStr">
        <is>
          <t>20日均线斜率(%)</t>
        </is>
      </c>
      <c r="N1" s="1" t="inlineStr">
        <is>
          <t>布林带状态</t>
        </is>
      </c>
      <c r="O1" s="1" t="inlineStr">
        <is>
          <t>VIX</t>
        </is>
      </c>
      <c r="P1" s="1" t="inlineStr">
        <is>
          <t>信用利差(%)</t>
        </is>
      </c>
      <c r="Q1" s="1" t="inlineStr">
        <is>
          <t>GPR指数</t>
        </is>
      </c>
      <c r="R1" s="1" t="inlineStr">
        <is>
          <t>布油价格($)</t>
        </is>
      </c>
      <c r="S1" s="1" t="inlineStr">
        <is>
          <t>CPI同比(%)</t>
        </is>
      </c>
      <c r="T1" s="1" t="inlineStr">
        <is>
          <t>金价($)</t>
        </is>
      </c>
      <c r="U1" s="1" t="inlineStr">
        <is>
          <t>金价单日跌幅</t>
        </is>
      </c>
      <c r="V1" s="1" t="inlineStr">
        <is>
          <t>DXY单日涨幅</t>
        </is>
      </c>
    </row>
    <row r="2">
      <c r="A2" s="2" t="inlineStr">
        <is>
          <t>日期</t>
        </is>
      </c>
      <c r="B2" s="3" t="inlineStr">
        <is>
          <t>S_macro</t>
        </is>
      </c>
      <c r="C2" s="3" t="inlineStr">
        <is>
          <t>S_macro</t>
        </is>
      </c>
      <c r="D2" s="3" t="inlineStr">
        <is>
          <t>S_macro</t>
        </is>
      </c>
      <c r="E2" s="3" t="inlineStr">
        <is>
          <t>S_macro</t>
        </is>
      </c>
      <c r="F2" s="3" t="inlineStr">
        <is>
          <t>S_macro</t>
        </is>
      </c>
      <c r="G2" s="3" t="inlineStr">
        <is>
          <t>S_macro</t>
        </is>
      </c>
      <c r="H2" s="4" t="inlineStr">
        <is>
          <t>K_verif</t>
        </is>
      </c>
      <c r="I2" s="4" t="inlineStr">
        <is>
          <t>K_verif</t>
        </is>
      </c>
      <c r="J2" s="4" t="inlineStr">
        <is>
          <t>K_verif</t>
        </is>
      </c>
      <c r="K2" s="5" t="inlineStr">
        <is>
          <t>K_trend</t>
        </is>
      </c>
      <c r="L2" s="5" t="inlineStr">
        <is>
          <t>K_trend</t>
        </is>
      </c>
      <c r="M2" s="5" t="inlineStr">
        <is>
          <t>K_trend</t>
        </is>
      </c>
      <c r="N2" s="5" t="inlineStr">
        <is>
          <t>K_trend</t>
        </is>
      </c>
      <c r="O2" s="6" t="inlineStr">
        <is>
          <t>K_liquidity</t>
        </is>
      </c>
      <c r="P2" s="6" t="inlineStr">
        <is>
          <t>K_liquidity</t>
        </is>
      </c>
      <c r="Q2" s="7" t="inlineStr">
        <is>
          <t>K_geo</t>
        </is>
      </c>
      <c r="R2" s="7" t="inlineStr">
        <is>
          <t>K_geo</t>
        </is>
      </c>
      <c r="S2" s="7" t="inlineStr">
        <is>
          <t>K_geo</t>
        </is>
      </c>
      <c r="T2" s="8" t="inlineStr">
        <is>
          <t>参考</t>
        </is>
      </c>
      <c r="U2" s="8" t="inlineStr">
        <is>
          <t>参考</t>
        </is>
      </c>
      <c r="V2" s="8" t="inlineStr">
        <is>
          <t>S_macro</t>
        </is>
      </c>
    </row>
    <row r="3">
      <c r="A3" s="9" t="inlineStr">
        <is>
          <t>2026-04-30</t>
        </is>
      </c>
      <c r="B3" s="18" t="n">
        <v>838</v>
      </c>
      <c r="C3" s="10" t="n">
        <v>4.2</v>
      </c>
      <c r="D3" s="10" t="n">
        <v>122.57</v>
      </c>
      <c r="E3" s="16" t="n">
        <v>-15</v>
      </c>
      <c r="F3" s="10" t="n">
        <v>1.92</v>
      </c>
      <c r="G3" s="10" t="n">
        <v>98.66</v>
      </c>
      <c r="H3" s="10" t="n">
        <v>-3.18</v>
      </c>
      <c r="I3" s="10" t="n">
        <v>63.75</v>
      </c>
      <c r="J3" s="10" t="n">
        <v>3.25</v>
      </c>
      <c r="K3" s="10" t="n">
        <v>39.01</v>
      </c>
      <c r="L3" s="10" t="n">
        <v>50</v>
      </c>
      <c r="M3" s="10" t="n">
        <v>-0.15</v>
      </c>
      <c r="N3" s="10" t="n">
        <v>83</v>
      </c>
      <c r="O3" s="10" t="n">
        <v>17.83</v>
      </c>
      <c r="P3" s="10" t="n">
        <v>1.69</v>
      </c>
      <c r="Q3" s="16" t="n">
        <v>297.27</v>
      </c>
      <c r="R3" s="10" t="n">
        <v>111.85</v>
      </c>
      <c r="S3" s="10" t="n">
        <v>3.32</v>
      </c>
      <c r="T3" s="10" t="n">
        <v>4543.41</v>
      </c>
      <c r="U3" s="10" t="n">
        <v>-1.62</v>
      </c>
      <c r="V3" s="10" t="n">
        <v>0.03</v>
      </c>
    </row>
    <row r="4">
      <c r="A4" s="22" t="inlineStr">
        <is>
          <t>2026-05-13</t>
        </is>
      </c>
      <c r="B4" s="23" t="n">
        <v>838</v>
      </c>
      <c r="C4" s="23" t="n">
        <v>4.88</v>
      </c>
      <c r="D4" s="23" t="n">
        <v>122.56815</v>
      </c>
      <c r="E4" s="24" t="n">
        <v>2.5</v>
      </c>
      <c r="F4" s="23" t="n">
        <v>1.95</v>
      </c>
      <c r="G4" s="23" t="n">
        <v>97.7146</v>
      </c>
      <c r="H4" s="23" t="n">
        <v>-0.01</v>
      </c>
      <c r="I4" s="23" t="n">
        <v>53.6281</v>
      </c>
      <c r="J4" s="23" t="n">
        <v>3.3786</v>
      </c>
      <c r="K4" s="23" t="n">
        <v>37.25</v>
      </c>
      <c r="L4" s="23" t="n">
        <v>50</v>
      </c>
      <c r="M4" s="23" t="n">
        <v>-0.0389</v>
      </c>
      <c r="N4" s="23" t="n">
        <v>67</v>
      </c>
      <c r="O4" s="23" t="n">
        <v>18.38</v>
      </c>
      <c r="P4" s="23" t="n">
        <v>1.65</v>
      </c>
      <c r="Q4" s="24" t="n">
        <v>122.1733169555664</v>
      </c>
      <c r="R4" s="23" t="n">
        <v>118.26</v>
      </c>
      <c r="S4" s="23" t="n">
        <v>3.95</v>
      </c>
      <c r="T4" s="23" t="n">
        <v>4730</v>
      </c>
      <c r="U4" s="23" t="n">
        <v>-0.0978</v>
      </c>
      <c r="V4" s="23" t="n">
        <v>0</v>
      </c>
    </row>
    <row r="5">
      <c r="A5" s="22" t="inlineStr">
        <is>
          <t>2026-06-09</t>
        </is>
      </c>
      <c r="B5" s="23" t="n">
        <v>870.5</v>
      </c>
      <c r="C5" s="23" t="n">
        <v>4.88</v>
      </c>
      <c r="D5" s="23" t="n">
        <v>121.0391507537651</v>
      </c>
      <c r="E5" s="24" t="n">
        <v>2.5</v>
      </c>
      <c r="F5" s="23" t="n">
        <v>2.19</v>
      </c>
      <c r="G5" s="23" t="n">
        <v>99.8814</v>
      </c>
      <c r="H5" s="23" t="n">
        <v>-1.53</v>
      </c>
      <c r="I5" s="23" t="n">
        <v>63.46985659935616</v>
      </c>
      <c r="J5" s="23" t="n">
        <v>2.542171922894334</v>
      </c>
      <c r="K5" s="23" t="n">
        <v>60.62</v>
      </c>
      <c r="L5" s="23" t="n">
        <v>50</v>
      </c>
      <c r="M5" s="23" t="n">
        <v>-0.27</v>
      </c>
      <c r="N5" s="23" t="n">
        <v>50</v>
      </c>
      <c r="O5" s="23" t="n">
        <v>24.76</v>
      </c>
      <c r="P5" s="23" t="n">
        <v>1.54</v>
      </c>
      <c r="Q5" s="24" t="n">
        <v>184.18</v>
      </c>
      <c r="R5" s="23" t="n">
        <v>93.03100000000001</v>
      </c>
      <c r="S5" s="23" t="n">
        <v>3.8</v>
      </c>
      <c r="T5" s="23" t="n">
        <v>4337.53</v>
      </c>
      <c r="U5" s="23" t="n">
        <v>-0.01</v>
      </c>
      <c r="V5" s="23" t="n">
        <v>-0.13</v>
      </c>
    </row>
    <row r="6">
      <c r="A6" s="22" t="inlineStr">
        <is>
          <t>2026-06-16</t>
        </is>
      </c>
      <c r="B6" s="23" t="n">
        <v>870.5</v>
      </c>
      <c r="C6" s="23" t="n">
        <v>4.88</v>
      </c>
      <c r="D6" s="23" t="n">
        <v>121.0391507537651</v>
      </c>
      <c r="E6" s="24" t="n">
        <v>2.5</v>
      </c>
      <c r="F6" s="23" t="n">
        <v>2.17</v>
      </c>
      <c r="G6" s="23" t="n">
        <v>99.58069999999999</v>
      </c>
      <c r="H6" s="23" t="n">
        <v>-2.06</v>
      </c>
      <c r="I6" s="23" t="n">
        <v>61.56693582660434</v>
      </c>
      <c r="J6" s="23" t="n">
        <v>2.547141944520961</v>
      </c>
      <c r="K6" s="23" t="n">
        <v>57.21</v>
      </c>
      <c r="L6" s="23" t="n">
        <v>50</v>
      </c>
      <c r="M6" s="23" t="n">
        <v>0.356</v>
      </c>
      <c r="N6" s="23" t="n">
        <v>50</v>
      </c>
      <c r="O6" s="23" t="n">
        <v>22.56</v>
      </c>
      <c r="P6" s="23" t="n">
        <v>1.63</v>
      </c>
      <c r="Q6" s="24" t="n">
        <v>184.18</v>
      </c>
      <c r="R6" s="23" t="n">
        <v>81.437</v>
      </c>
      <c r="S6" s="23" t="n">
        <v>4.2</v>
      </c>
      <c r="T6" s="23" t="n">
        <v>4346.01</v>
      </c>
      <c r="U6" s="23" t="n">
        <v>-0.01</v>
      </c>
      <c r="V6" s="23" t="n">
        <v>-0.09</v>
      </c>
    </row>
    <row r="7">
      <c r="A7" s="22" t="inlineStr">
        <is>
          <t>2026-06-16</t>
        </is>
      </c>
      <c r="B7" s="23" t="n">
        <v>870.5</v>
      </c>
      <c r="C7" s="23" t="n">
        <v>4.88</v>
      </c>
      <c r="D7" s="23" t="n">
        <v>121.0391507537651</v>
      </c>
      <c r="E7" s="24" t="n">
        <v>2.5</v>
      </c>
      <c r="F7" s="23" t="n">
        <v>2.17</v>
      </c>
      <c r="G7" s="23" t="n">
        <v>99.58150000000001</v>
      </c>
      <c r="H7" s="23" t="n">
        <v>-2.06</v>
      </c>
      <c r="I7" s="23" t="n">
        <v>61.57942468471022</v>
      </c>
      <c r="J7" s="23" t="n">
        <v>2.546936813911372</v>
      </c>
      <c r="K7" s="23" t="n">
        <v>57.21</v>
      </c>
      <c r="L7" s="23" t="n">
        <v>50</v>
      </c>
      <c r="M7" s="23" t="n">
        <v>0.356</v>
      </c>
      <c r="N7" s="23" t="n">
        <v>50</v>
      </c>
      <c r="O7" s="23" t="n">
        <v>22.56</v>
      </c>
      <c r="P7" s="23" t="n">
        <v>1.63</v>
      </c>
      <c r="Q7" s="24" t="n">
        <v>184.18</v>
      </c>
      <c r="R7" s="23" t="n">
        <v>81.423</v>
      </c>
      <c r="S7" s="23" t="n">
        <v>4.2</v>
      </c>
      <c r="T7" s="23" t="n">
        <v>4345.66</v>
      </c>
      <c r="U7" s="23" t="n">
        <v>-0.01</v>
      </c>
      <c r="V7" s="23" t="n">
        <v>-0.09</v>
      </c>
    </row>
    <row r="8">
      <c r="A8" s="22" t="inlineStr">
        <is>
          <t>2026-06-16</t>
        </is>
      </c>
      <c r="B8" s="23" t="n">
        <v>870.5</v>
      </c>
      <c r="C8" s="23" t="n">
        <v>4.88</v>
      </c>
      <c r="D8" s="23" t="n">
        <v>121.0391507537651</v>
      </c>
      <c r="E8" s="24" t="n">
        <v>2.5</v>
      </c>
      <c r="F8" s="23" t="n">
        <v>2.17</v>
      </c>
      <c r="G8" s="23" t="n">
        <v>99.6054</v>
      </c>
      <c r="H8" s="23" t="n">
        <v>-2.06</v>
      </c>
      <c r="I8" s="23" t="n">
        <v>61.6081713718258</v>
      </c>
      <c r="J8" s="23" t="n">
        <v>2.545237160289058</v>
      </c>
      <c r="K8" s="23" t="n">
        <v>57.21</v>
      </c>
      <c r="L8" s="23" t="n">
        <v>50</v>
      </c>
      <c r="M8" s="23" t="n">
        <v>0.356</v>
      </c>
      <c r="N8" s="23" t="n">
        <v>50</v>
      </c>
      <c r="O8" s="23" t="n">
        <v>22.56</v>
      </c>
      <c r="P8" s="23" t="n">
        <v>1.63</v>
      </c>
      <c r="Q8" s="24" t="n">
        <v>184.18</v>
      </c>
      <c r="R8" s="23" t="n">
        <v>81.342</v>
      </c>
      <c r="S8" s="23" t="n">
        <v>4.2</v>
      </c>
      <c r="T8" s="23" t="n">
        <v>4342.76</v>
      </c>
      <c r="U8" s="23" t="n">
        <v>-0.01</v>
      </c>
      <c r="V8" s="23" t="n">
        <v>-0.07000000000000001</v>
      </c>
    </row>
    <row r="9">
      <c r="A9" s="22" t="inlineStr">
        <is>
          <t>2026-06-23</t>
        </is>
      </c>
      <c r="B9" s="23" t="n">
        <v>870.5</v>
      </c>
      <c r="C9" s="23" t="n">
        <v>4.88</v>
      </c>
      <c r="D9" s="23" t="n">
        <v>122.7720900641192</v>
      </c>
      <c r="E9" s="24" t="n">
        <v>2.5</v>
      </c>
      <c r="F9" s="23" t="n">
        <v>2.21</v>
      </c>
      <c r="G9" s="23" t="n">
        <v>101.065</v>
      </c>
      <c r="H9" s="23" t="n">
        <v>-1.55</v>
      </c>
      <c r="I9" s="23" t="n">
        <v>65.93630980956952</v>
      </c>
      <c r="J9" s="23" t="n">
        <v>2.41489131008129</v>
      </c>
      <c r="K9" s="23" t="n">
        <v>55.94</v>
      </c>
      <c r="L9" s="23" t="n">
        <v>50</v>
      </c>
      <c r="M9" s="23" t="n">
        <v>0.182</v>
      </c>
      <c r="N9" s="23" t="n">
        <v>50</v>
      </c>
      <c r="O9" s="23" t="n">
        <v>22.52</v>
      </c>
      <c r="P9" s="23" t="n">
        <v>1.59</v>
      </c>
      <c r="Q9" s="24" t="n">
        <v>184.18</v>
      </c>
      <c r="R9" s="23" t="n">
        <v>76.65900000000001</v>
      </c>
      <c r="S9" s="23" t="n">
        <v>4.2</v>
      </c>
      <c r="T9" s="23" t="n">
        <v>4120.36</v>
      </c>
      <c r="U9" s="23" t="n">
        <v>-0.01</v>
      </c>
      <c r="V9" s="23" t="n">
        <v>0.06</v>
      </c>
    </row>
    <row r="10">
      <c r="A10" s="22" t="inlineStr">
        <is>
          <t>2026-06-24</t>
        </is>
      </c>
      <c r="B10" s="23" t="n">
        <v>870.5</v>
      </c>
      <c r="C10" s="23" t="n">
        <v>4.88</v>
      </c>
      <c r="D10" s="23" t="n">
        <v>122.7720900641192</v>
      </c>
      <c r="E10" s="24" t="n">
        <v>2.5</v>
      </c>
      <c r="F10" s="23" t="n">
        <v>2.28</v>
      </c>
      <c r="G10" s="23" t="n">
        <v>101.602</v>
      </c>
      <c r="H10" s="23" t="n">
        <v>-2.15</v>
      </c>
      <c r="I10" s="23" t="n">
        <v>66.57941176470588</v>
      </c>
      <c r="J10" s="23" t="n">
        <v>2.388107113343453</v>
      </c>
      <c r="K10" s="23" t="n">
        <v>50.97</v>
      </c>
      <c r="L10" s="23" t="n">
        <v>50</v>
      </c>
      <c r="M10" s="23" t="n">
        <v>0.2</v>
      </c>
      <c r="N10" s="23" t="n">
        <v>50</v>
      </c>
      <c r="O10" s="23" t="n">
        <v>23.87</v>
      </c>
      <c r="P10" s="23" t="n">
        <v>1.6</v>
      </c>
      <c r="Q10" s="24" t="n">
        <v>184.18</v>
      </c>
      <c r="R10" s="23" t="n">
        <v>75.508</v>
      </c>
      <c r="S10" s="23" t="n">
        <v>4.2</v>
      </c>
      <c r="T10" s="23" t="n">
        <v>4074.66</v>
      </c>
      <c r="U10" s="23" t="n">
        <v>-0.01</v>
      </c>
      <c r="V10" s="23" t="n">
        <v>0.22</v>
      </c>
    </row>
    <row r="11">
      <c r="A11" s="22" t="inlineStr">
        <is>
          <t>2026-06-24</t>
        </is>
      </c>
      <c r="B11" s="23" t="n">
        <v>870.5</v>
      </c>
      <c r="C11" s="23" t="n">
        <v>4.88</v>
      </c>
      <c r="D11" s="23" t="n">
        <v>122.7720900641192</v>
      </c>
      <c r="E11" s="24" t="n">
        <v>2.5</v>
      </c>
      <c r="F11" s="23" t="n">
        <v>2.28</v>
      </c>
      <c r="G11" s="23" t="n">
        <v>101.6082</v>
      </c>
      <c r="H11" s="23" t="n">
        <v>-2.15</v>
      </c>
      <c r="I11" s="23" t="n">
        <v>66.633627739614</v>
      </c>
      <c r="J11" s="23" t="n">
        <v>2.387708573873393</v>
      </c>
      <c r="K11" s="23" t="n">
        <v>50.97</v>
      </c>
      <c r="L11" s="23" t="n">
        <v>50</v>
      </c>
      <c r="M11" s="23" t="n">
        <v>0.2</v>
      </c>
      <c r="N11" s="23" t="n">
        <v>50</v>
      </c>
      <c r="O11" s="23" t="n">
        <v>23.87</v>
      </c>
      <c r="P11" s="23" t="n">
        <v>1.6</v>
      </c>
      <c r="Q11" s="24" t="n">
        <v>184.18</v>
      </c>
      <c r="R11" s="23" t="n">
        <v>75.337</v>
      </c>
      <c r="S11" s="23" t="n">
        <v>4.2</v>
      </c>
      <c r="T11" s="23" t="n">
        <v>4073.98</v>
      </c>
      <c r="U11" s="23" t="n">
        <v>-0.01</v>
      </c>
      <c r="V11" s="23" t="n">
        <v>0.23</v>
      </c>
    </row>
    <row r="12">
      <c r="A12" s="22" t="inlineStr">
        <is>
          <t>2026-06-25</t>
        </is>
      </c>
      <c r="B12" s="23" t="n">
        <v>870.5</v>
      </c>
      <c r="C12" s="23" t="n">
        <v>4.88</v>
      </c>
      <c r="D12" s="23" t="n">
        <v>122.7720900641192</v>
      </c>
      <c r="E12" s="24" t="n">
        <v>2.5</v>
      </c>
      <c r="F12" s="23" t="n">
        <v>2.29</v>
      </c>
      <c r="G12" s="23" t="n">
        <v>101.485</v>
      </c>
      <c r="H12" s="23" t="n">
        <v>-2.32</v>
      </c>
      <c r="I12" s="23" t="n">
        <v>69.82791754018169</v>
      </c>
      <c r="J12" s="23" t="n">
        <v>2.34256225714001</v>
      </c>
      <c r="K12" s="23" t="n">
        <v>55.66</v>
      </c>
      <c r="L12" s="23" t="n">
        <v>50</v>
      </c>
      <c r="M12" s="23" t="n">
        <v>0.332</v>
      </c>
      <c r="N12" s="23" t="n">
        <v>50</v>
      </c>
      <c r="O12" s="23" t="n">
        <v>23.69</v>
      </c>
      <c r="P12" s="23" t="n">
        <v>1.69</v>
      </c>
      <c r="Q12" s="24" t="n">
        <v>184.18</v>
      </c>
      <c r="R12" s="23" t="n">
        <v>72.825</v>
      </c>
      <c r="S12" s="23" t="n">
        <v>4.2</v>
      </c>
      <c r="T12" s="23" t="n">
        <v>3996.95</v>
      </c>
      <c r="U12" s="23" t="n">
        <v>-0.01</v>
      </c>
      <c r="V12" s="23" t="n">
        <v>-0.09</v>
      </c>
    </row>
    <row r="13">
      <c r="A13" s="22" t="inlineStr">
        <is>
          <t>2026-06-25</t>
        </is>
      </c>
      <c r="B13" s="23" t="n">
        <v>870.5</v>
      </c>
      <c r="C13" s="23" t="n">
        <v>4.88</v>
      </c>
      <c r="D13" s="23" t="n">
        <v>122.7720900641192</v>
      </c>
      <c r="E13" s="24" t="n">
        <v>2.5</v>
      </c>
      <c r="F13" s="23" t="n">
        <v>2.29</v>
      </c>
      <c r="G13" s="23" t="n">
        <v>101.4852</v>
      </c>
      <c r="H13" s="23" t="n">
        <v>-2.32</v>
      </c>
      <c r="I13" s="23" t="n">
        <v>69.6426080892608</v>
      </c>
      <c r="J13" s="23" t="n">
        <v>2.341243560364077</v>
      </c>
      <c r="K13" s="23" t="n">
        <v>55.66</v>
      </c>
      <c r="L13" s="23" t="n">
        <v>50</v>
      </c>
      <c r="M13" s="23" t="n">
        <v>0.332</v>
      </c>
      <c r="N13" s="23" t="n">
        <v>50</v>
      </c>
      <c r="O13" s="23" t="n">
        <v>23.69</v>
      </c>
      <c r="P13" s="23" t="n">
        <v>1.69</v>
      </c>
      <c r="Q13" s="24" t="n">
        <v>184.18</v>
      </c>
      <c r="R13" s="23" t="n">
        <v>72.84999999999999</v>
      </c>
      <c r="S13" s="23" t="n">
        <v>4.2</v>
      </c>
      <c r="T13" s="23" t="n">
        <v>3994.7</v>
      </c>
      <c r="U13" s="23" t="n">
        <v>-0.01</v>
      </c>
      <c r="V13" s="23" t="n">
        <v>-0.09</v>
      </c>
    </row>
    <row r="14">
      <c r="A14" s="22" t="inlineStr">
        <is>
          <t>2026-06-25 04:13:02</t>
        </is>
      </c>
      <c r="B14" s="23" t="n">
        <v>870.5</v>
      </c>
      <c r="C14" s="23" t="n">
        <v>4.88</v>
      </c>
      <c r="D14" s="23" t="n">
        <v>122.7720900641192</v>
      </c>
      <c r="E14" s="24" t="n">
        <v>2.5</v>
      </c>
      <c r="F14" s="23" t="n">
        <v>2.29</v>
      </c>
      <c r="G14" s="23" t="n">
        <v>101.4776</v>
      </c>
      <c r="H14" s="23" t="n">
        <v>-2.32</v>
      </c>
      <c r="I14" s="23" t="n">
        <v>69.57932357043236</v>
      </c>
      <c r="J14" s="23" t="n">
        <v>2.339116062898906</v>
      </c>
      <c r="K14" s="23" t="n">
        <v>55.66</v>
      </c>
      <c r="L14" s="23" t="n">
        <v>50</v>
      </c>
      <c r="M14" s="23" t="n">
        <v>0.332</v>
      </c>
      <c r="N14" s="23" t="n">
        <v>50</v>
      </c>
      <c r="O14" s="23" t="n">
        <v>23.69</v>
      </c>
      <c r="P14" s="23" t="n">
        <v>1.69</v>
      </c>
      <c r="Q14" s="24" t="n">
        <v>184.18</v>
      </c>
      <c r="R14" s="23" t="n">
        <v>72.85899999999999</v>
      </c>
      <c r="S14" s="23" t="n">
        <v>4.2</v>
      </c>
      <c r="T14" s="23" t="n">
        <v>3991.07</v>
      </c>
      <c r="U14" s="23" t="n">
        <v>-0.01</v>
      </c>
      <c r="V14" s="23" t="n">
        <v>-0.1</v>
      </c>
    </row>
    <row r="15">
      <c r="A15" s="22" t="inlineStr">
        <is>
          <t>2026-06-25 12:17:49</t>
        </is>
      </c>
      <c r="B15" s="23" t="n">
        <v>870.5</v>
      </c>
      <c r="C15" s="23" t="n">
        <v>4.88</v>
      </c>
      <c r="D15" s="23" t="n">
        <v>122.7720900641192</v>
      </c>
      <c r="E15" s="24" t="n">
        <v>2.5</v>
      </c>
      <c r="F15" s="23" t="n">
        <v>2.29</v>
      </c>
      <c r="G15" s="23" t="n">
        <v>101.4869</v>
      </c>
      <c r="H15" s="23" t="n">
        <v>-2.32</v>
      </c>
      <c r="I15" s="23" t="n">
        <v>69.67819706498952</v>
      </c>
      <c r="J15" s="23" t="n">
        <v>2.337539487642346</v>
      </c>
      <c r="K15" s="23" t="n">
        <v>55.66</v>
      </c>
      <c r="L15" s="23" t="n">
        <v>50</v>
      </c>
      <c r="M15" s="23" t="n">
        <v>0.332</v>
      </c>
      <c r="N15" s="23" t="n">
        <v>50</v>
      </c>
      <c r="O15" s="23" t="n">
        <v>23.69</v>
      </c>
      <c r="P15" s="23" t="n">
        <v>1.69</v>
      </c>
      <c r="Q15" s="24" t="n">
        <v>184.18</v>
      </c>
      <c r="R15" s="23" t="n">
        <v>72.83799999999999</v>
      </c>
      <c r="S15" s="23" t="n">
        <v>4.2</v>
      </c>
      <c r="T15" s="23" t="n">
        <v>3988.38</v>
      </c>
      <c r="U15" s="23" t="n">
        <v>-0.01</v>
      </c>
      <c r="V15" s="23" t="n">
        <v>-0.09</v>
      </c>
    </row>
    <row r="16">
      <c r="A16" s="22" t="inlineStr">
        <is>
          <t>2026-06-25 14:03:12</t>
        </is>
      </c>
      <c r="B16" s="23" t="n">
        <v>870.5</v>
      </c>
      <c r="C16" s="23" t="n">
        <v>4.88</v>
      </c>
      <c r="D16" s="23" t="n">
        <v>122.7720900641192</v>
      </c>
      <c r="E16" s="24" t="n">
        <v>2.5</v>
      </c>
      <c r="F16" s="23" t="n">
        <v>2.29</v>
      </c>
      <c r="G16" s="23" t="n">
        <v>101.5425</v>
      </c>
      <c r="H16" s="23" t="n">
        <v>-2.32</v>
      </c>
      <c r="I16" s="23" t="n">
        <v>69.79625087596357</v>
      </c>
      <c r="J16" s="23" t="n">
        <v>2.334954841961517</v>
      </c>
      <c r="K16" s="23" t="n">
        <v>55.66</v>
      </c>
      <c r="L16" s="23" t="n">
        <v>50</v>
      </c>
      <c r="M16" s="23" t="n">
        <v>0.332</v>
      </c>
      <c r="N16" s="23" t="n">
        <v>50</v>
      </c>
      <c r="O16" s="23" t="n">
        <v>23.69</v>
      </c>
      <c r="P16" s="23" t="n">
        <v>1.69</v>
      </c>
      <c r="Q16" s="24" t="n">
        <v>184.18</v>
      </c>
      <c r="R16" s="23" t="n">
        <v>72.747</v>
      </c>
      <c r="S16" s="23" t="n">
        <v>4.2</v>
      </c>
      <c r="T16" s="23" t="n">
        <v>3983.97</v>
      </c>
      <c r="U16" s="23" t="n">
        <v>-0.01</v>
      </c>
      <c r="V16" s="23" t="n">
        <v>-0.03</v>
      </c>
    </row>
    <row r="17">
      <c r="A17" s="22" t="inlineStr">
        <is>
          <t>2026-06-26 13:07:30</t>
        </is>
      </c>
      <c r="B17" s="23" t="n">
        <v>870.5</v>
      </c>
      <c r="C17" s="23" t="n">
        <v>4.88</v>
      </c>
      <c r="D17" s="23" t="n">
        <v>122.5938713264953</v>
      </c>
      <c r="E17" s="24" t="n">
        <v>2.5</v>
      </c>
      <c r="F17" s="23" t="n">
        <v>2.23</v>
      </c>
      <c r="G17" s="23" t="n">
        <v>101.3935</v>
      </c>
      <c r="H17" s="23" t="n">
        <v>-3.06</v>
      </c>
      <c r="I17" s="23" t="n">
        <v>71.15261756876663</v>
      </c>
      <c r="J17" s="23" t="n">
        <v>2.349888350339638</v>
      </c>
      <c r="K17" s="23" t="n">
        <v>61.7</v>
      </c>
      <c r="L17" s="23" t="n">
        <v>50</v>
      </c>
      <c r="M17" s="23" t="n">
        <v>0.654</v>
      </c>
      <c r="N17" s="23" t="n">
        <v>0</v>
      </c>
      <c r="O17" s="23" t="n">
        <v>23.25</v>
      </c>
      <c r="P17" s="23" t="n">
        <v>1.7</v>
      </c>
      <c r="Q17" s="24" t="n">
        <v>184.18</v>
      </c>
      <c r="R17" s="23" t="n">
        <v>74.05800000000001</v>
      </c>
      <c r="S17" s="23" t="n">
        <v>4.2</v>
      </c>
      <c r="T17" s="23" t="n">
        <v>4009.45</v>
      </c>
      <c r="U17" s="23" t="n">
        <v>-0.01</v>
      </c>
      <c r="V17" s="23" t="n">
        <v>-0.06</v>
      </c>
    </row>
    <row r="18">
      <c r="A18" s="22" t="inlineStr">
        <is>
          <t>2026-06-27 12:52:40</t>
        </is>
      </c>
      <c r="B18" s="23" t="n">
        <v>870.5</v>
      </c>
      <c r="C18" s="23" t="n">
        <v>4.88</v>
      </c>
      <c r="D18" s="23" t="n">
        <v>122.5938713264953</v>
      </c>
      <c r="E18" s="24" t="n">
        <v>2.5</v>
      </c>
      <c r="F18" s="23" t="n">
        <v>2.19</v>
      </c>
      <c r="G18" s="23" t="n">
        <v>101.3565</v>
      </c>
      <c r="H18" s="23" t="n">
        <v>-3.06</v>
      </c>
      <c r="I18" s="23" t="n">
        <v>69.44053088310362</v>
      </c>
      <c r="J18" s="23" t="n">
        <v>2.391834629563423</v>
      </c>
      <c r="K18" s="23" t="n">
        <v>58.98</v>
      </c>
      <c r="L18" s="23" t="n">
        <v>50</v>
      </c>
      <c r="M18" s="23" t="n">
        <v>0.776</v>
      </c>
      <c r="N18" s="23" t="n">
        <v>50</v>
      </c>
      <c r="O18" s="23" t="n">
        <v>23.56</v>
      </c>
      <c r="P18" s="23" t="n">
        <v>1.72</v>
      </c>
      <c r="Q18" s="24" t="n">
        <v>184.18</v>
      </c>
      <c r="R18" s="23" t="n">
        <v>73.416</v>
      </c>
      <c r="S18" s="23" t="n">
        <v>4.2</v>
      </c>
      <c r="T18" s="23" t="n">
        <v>4081.02</v>
      </c>
      <c r="U18" s="23" t="n">
        <v>-0.02</v>
      </c>
      <c r="V18" s="23" t="n">
        <v>-0.1</v>
      </c>
    </row>
    <row r="19">
      <c r="A19" s="22" t="inlineStr">
        <is>
          <t>2026-06-28 13:16:06</t>
        </is>
      </c>
      <c r="B19" s="23" t="n">
        <v>870.5</v>
      </c>
      <c r="C19" s="23" t="n">
        <v>4.88</v>
      </c>
      <c r="D19" s="23" t="n">
        <v>122.5938713264953</v>
      </c>
      <c r="E19" s="24" t="n">
        <v>2.5</v>
      </c>
      <c r="F19" s="23" t="n">
        <v>2.19</v>
      </c>
      <c r="G19" s="23" t="n">
        <v>101.3565</v>
      </c>
      <c r="H19" s="23" t="n">
        <v>-3.06</v>
      </c>
      <c r="I19" s="23" t="n">
        <v>69.44053088310362</v>
      </c>
      <c r="J19" s="23" t="n">
        <v>2.391834629563423</v>
      </c>
      <c r="K19" s="23" t="n">
        <v>58.98</v>
      </c>
      <c r="L19" s="23" t="n">
        <v>50</v>
      </c>
      <c r="M19" s="23" t="n">
        <v>0.776</v>
      </c>
      <c r="N19" s="23" t="n">
        <v>50</v>
      </c>
      <c r="O19" s="23" t="n">
        <v>23.56</v>
      </c>
      <c r="P19" s="23" t="n">
        <v>1.72</v>
      </c>
      <c r="Q19" s="24" t="n">
        <v>184.18</v>
      </c>
      <c r="R19" s="23" t="n">
        <v>73.416</v>
      </c>
      <c r="S19" s="23" t="n">
        <v>4.2</v>
      </c>
      <c r="T19" s="23" t="n">
        <v>4081.02</v>
      </c>
      <c r="U19" s="23" t="n">
        <v>-0.02</v>
      </c>
      <c r="V19" s="23" t="n">
        <v>-0.1</v>
      </c>
    </row>
    <row r="20">
      <c r="A20" s="22" t="inlineStr">
        <is>
          <t>2026-06-29 13:48:54</t>
        </is>
      </c>
      <c r="B20" s="23" t="n">
        <v>870.5</v>
      </c>
      <c r="C20" s="23" t="n">
        <v>4.88</v>
      </c>
      <c r="D20" s="23" t="n">
        <v>122.5938713264953</v>
      </c>
      <c r="E20" s="24" t="n">
        <v>2.5</v>
      </c>
      <c r="F20" s="23" t="n">
        <v>2.19</v>
      </c>
      <c r="G20" s="23" t="n">
        <v>101.3006</v>
      </c>
      <c r="H20" s="23" t="n">
        <v>-3.06</v>
      </c>
      <c r="I20" s="23" t="n">
        <v>69.6005840920804</v>
      </c>
      <c r="J20" s="23" t="n">
        <v>2.374504023490385</v>
      </c>
      <c r="K20" s="23" t="n">
        <v>58.98</v>
      </c>
      <c r="L20" s="23" t="n">
        <v>50</v>
      </c>
      <c r="M20" s="23" t="n">
        <v>0.776</v>
      </c>
      <c r="N20" s="23" t="n">
        <v>50</v>
      </c>
      <c r="O20" s="23" t="n">
        <v>23.56</v>
      </c>
      <c r="P20" s="23" t="n">
        <v>1.72</v>
      </c>
      <c r="Q20" s="24" t="n">
        <v>184.18</v>
      </c>
      <c r="R20" s="23" t="n">
        <v>72.75</v>
      </c>
      <c r="S20" s="23" t="n">
        <v>4.2</v>
      </c>
      <c r="T20" s="23" t="n">
        <v>4051.45</v>
      </c>
      <c r="U20" s="23" t="n">
        <v>-0.01</v>
      </c>
      <c r="V20" s="23" t="n">
        <v>-0.06</v>
      </c>
    </row>
    <row r="21">
      <c r="A21" s="22" t="inlineStr">
        <is>
          <t>2026-06-30 13:02:08</t>
        </is>
      </c>
      <c r="B21" s="23" t="n">
        <v>870.5</v>
      </c>
      <c r="C21" s="23" t="n">
        <v>4.88</v>
      </c>
      <c r="D21" s="23" t="n">
        <v>122.5938713264953</v>
      </c>
      <c r="E21" s="24" t="n">
        <v>2.5</v>
      </c>
      <c r="F21" s="23" t="n">
        <v>2.18</v>
      </c>
      <c r="G21" s="23" t="n">
        <v>101.3875</v>
      </c>
      <c r="H21" s="23" t="n">
        <v>-3.06</v>
      </c>
      <c r="I21" s="23" t="n">
        <v>69.1559680777238</v>
      </c>
      <c r="J21" s="23" t="n">
        <v>2.336232512615533</v>
      </c>
      <c r="K21" s="23" t="n">
        <v>47.07</v>
      </c>
      <c r="L21" s="23" t="n">
        <v>50</v>
      </c>
      <c r="M21" s="23" t="n">
        <v>0.758</v>
      </c>
      <c r="N21" s="23" t="n">
        <v>50</v>
      </c>
      <c r="O21" s="23" t="n">
        <v>22.55</v>
      </c>
      <c r="P21" s="23" t="n">
        <v>1.72</v>
      </c>
      <c r="Q21" s="24" t="n">
        <v>184.18</v>
      </c>
      <c r="R21" s="23" t="n">
        <v>73.285</v>
      </c>
      <c r="S21" s="23" t="n">
        <v>4.2</v>
      </c>
      <c r="T21" s="23" t="n">
        <v>3986.15</v>
      </c>
      <c r="U21" s="23" t="n">
        <v>-0.01</v>
      </c>
      <c r="V21" s="23" t="n">
        <v>0.27</v>
      </c>
    </row>
    <row r="22">
      <c r="A22" s="22" t="inlineStr">
        <is>
          <t>2026-07-01 13:20:32</t>
        </is>
      </c>
      <c r="B22" s="23" t="n">
        <v>870.5</v>
      </c>
      <c r="C22" s="23" t="n">
        <v>4.88</v>
      </c>
      <c r="D22" s="23" t="n">
        <v>122.5938713264953</v>
      </c>
      <c r="E22" s="24" t="n">
        <v>2.5</v>
      </c>
      <c r="F22" s="23" t="n">
        <v>2.16</v>
      </c>
      <c r="G22" s="23" t="n">
        <v>101.2764</v>
      </c>
      <c r="H22" s="23" t="n">
        <v>-3.06</v>
      </c>
      <c r="I22" s="23" t="n">
        <v>69.03127715030409</v>
      </c>
      <c r="J22" s="23" t="n">
        <v>2.328378940705532</v>
      </c>
      <c r="K22" s="23" t="n">
        <v>50.95</v>
      </c>
      <c r="L22" s="23" t="n">
        <v>50</v>
      </c>
      <c r="M22" s="23" t="n">
        <v>0.802</v>
      </c>
      <c r="N22" s="23" t="n">
        <v>50</v>
      </c>
      <c r="O22" s="23" t="n">
        <v>22.09</v>
      </c>
      <c r="P22" s="23" t="n">
        <v>1.66</v>
      </c>
      <c r="Q22" s="24" t="n">
        <v>184.18</v>
      </c>
      <c r="R22" s="23" t="n">
        <v>73.197</v>
      </c>
      <c r="S22" s="23" t="n">
        <v>4.2</v>
      </c>
      <c r="T22" s="23" t="n">
        <v>3972.75</v>
      </c>
      <c r="U22" s="23" t="n">
        <v>-0.01</v>
      </c>
      <c r="V22" s="23" t="n">
        <v>0.11</v>
      </c>
    </row>
    <row r="23">
      <c r="A23" t="inlineStr">
        <is>
          <t>2026-07-02 12:56:32</t>
        </is>
      </c>
      <c r="B23" t="n">
        <v>870.5</v>
      </c>
      <c r="C23" t="n">
        <v>4.88</v>
      </c>
      <c r="D23" t="n">
        <v>122.5938713264953</v>
      </c>
      <c r="E23" t="n">
        <v>2.5</v>
      </c>
      <c r="F23" t="n">
        <v>2.2</v>
      </c>
      <c r="G23" t="n">
        <v>101.326</v>
      </c>
      <c r="H23" t="n">
        <v>-3.12</v>
      </c>
      <c r="I23" t="n">
        <v>67.62506240639041</v>
      </c>
      <c r="J23" t="n">
        <v>2.381619125205863</v>
      </c>
      <c r="K23" t="n">
        <v>48.48</v>
      </c>
      <c r="L23" t="n">
        <v>50</v>
      </c>
      <c r="M23" t="n">
        <v>0.722</v>
      </c>
      <c r="N23" t="n">
        <v>50</v>
      </c>
      <c r="O23" t="n">
        <v>22.32</v>
      </c>
      <c r="P23" t="n">
        <v>1.52</v>
      </c>
      <c r="Q23" t="n">
        <v>173.64</v>
      </c>
      <c r="R23" t="n">
        <v>70.852</v>
      </c>
      <c r="S23" t="n">
        <v>4.2</v>
      </c>
      <c r="T23" t="n">
        <v>4063.59</v>
      </c>
      <c r="U23" t="n">
        <v>-0.01</v>
      </c>
      <c r="V23" t="n">
        <v>-0.09</v>
      </c>
    </row>
    <row r="24">
      <c r="A24" t="inlineStr">
        <is>
          <t>2026-07-03 12:40:37</t>
        </is>
      </c>
      <c r="B24" t="n">
        <v>870.5</v>
      </c>
      <c r="C24" t="n">
        <v>4.88</v>
      </c>
      <c r="D24" t="n">
        <v>122.5938713264953</v>
      </c>
      <c r="E24" t="n">
        <v>2.5</v>
      </c>
      <c r="F24" t="n">
        <v>2.25</v>
      </c>
      <c r="G24" t="n">
        <v>100.7764</v>
      </c>
      <c r="H24" t="n">
        <v>-3.24</v>
      </c>
      <c r="I24" t="n">
        <v>66.96632996632997</v>
      </c>
      <c r="J24" t="n">
        <v>2.44790561647609</v>
      </c>
      <c r="K24" t="n">
        <v>39.25</v>
      </c>
      <c r="L24" t="n">
        <v>50</v>
      </c>
      <c r="M24" t="n">
        <v>0.54</v>
      </c>
      <c r="N24" t="n">
        <v>50</v>
      </c>
      <c r="O24" t="n">
        <v>22.040001</v>
      </c>
      <c r="P24" t="n">
        <v>1.51</v>
      </c>
      <c r="Q24" t="n">
        <v>173.64</v>
      </c>
      <c r="R24" t="n">
        <v>72.288</v>
      </c>
      <c r="S24" t="n">
        <v>4.2</v>
      </c>
      <c r="T24" t="n">
        <v>4176.69</v>
      </c>
      <c r="U24" t="n">
        <v>-0.01</v>
      </c>
      <c r="V24" t="n">
        <v>-0.09</v>
      </c>
    </row>
    <row r="25">
      <c r="A25" t="inlineStr">
        <is>
          <t>数据说明：</t>
        </is>
      </c>
    </row>
    <row r="26">
      <c r="A26" t="inlineStr">
        <is>
          <t>MACD背离: 100=底背离, 50=无背离, 0=顶背离</t>
        </is>
      </c>
    </row>
    <row r="27">
      <c r="A27" t="inlineStr">
        <is>
          <t>布林带状态: 100=触下轨扩口, 50=中性, 0=触上轨扩口</t>
        </is>
      </c>
    </row>
    <row r="28">
      <c r="A28" t="inlineStr">
        <is>
          <t>Fed预期差: 正数=预期降息bp, 负数=预期加息bp</t>
        </is>
      </c>
    </row>
    <row r="29">
      <c r="A29" t="inlineStr">
        <is>
          <t>2026-07-04 12:33:56</t>
        </is>
      </c>
      <c r="B29" t="n">
        <v>870.5</v>
      </c>
      <c r="C29" t="n">
        <v>4.88</v>
      </c>
      <c r="D29" t="n">
        <v>122.5938713264953</v>
      </c>
      <c r="E29" t="n">
        <v>2.5</v>
      </c>
      <c r="F29" t="n">
        <v>2.25</v>
      </c>
      <c r="G29" t="n">
        <v>100.8657</v>
      </c>
      <c r="H29" t="n">
        <v>-3.24</v>
      </c>
      <c r="I29" t="n">
        <v>66.94627966645287</v>
      </c>
      <c r="J29" t="n">
        <v>2.446780328560628</v>
      </c>
      <c r="K29" t="n">
        <v>39.25</v>
      </c>
      <c r="L29" t="n">
        <v>50</v>
      </c>
      <c r="M29" t="n">
        <v>0.54</v>
      </c>
      <c r="N29" t="n">
        <v>50</v>
      </c>
      <c r="O29" t="n">
        <v>22.040001</v>
      </c>
      <c r="Q29" t="n">
        <v>173.64</v>
      </c>
      <c r="R29" t="n">
        <v>71.995</v>
      </c>
      <c r="S29" t="n">
        <v>4.2</v>
      </c>
      <c r="T29" t="n">
        <v>4174.77</v>
      </c>
      <c r="U29" t="n">
        <v>-0.01</v>
      </c>
      <c r="V29" t="n">
        <v>0</v>
      </c>
    </row>
    <row r="30">
      <c r="A30" t="inlineStr">
        <is>
          <t>2026-07-05 12:55:29</t>
        </is>
      </c>
      <c r="B30" t="n">
        <v>870.5</v>
      </c>
      <c r="C30" t="n">
        <v>4.88</v>
      </c>
      <c r="D30" t="n">
        <v>122.5938713264953</v>
      </c>
      <c r="E30" t="n">
        <v>2.5</v>
      </c>
      <c r="F30" t="n">
        <v>2.25</v>
      </c>
      <c r="G30" t="n">
        <v>100.8657</v>
      </c>
      <c r="H30" t="n">
        <v>-3.24</v>
      </c>
      <c r="I30" t="n">
        <v>66.94627966645287</v>
      </c>
      <c r="J30" t="n">
        <v>2.446780328560628</v>
      </c>
      <c r="K30" t="n">
        <v>39.25</v>
      </c>
      <c r="L30" t="n">
        <v>50</v>
      </c>
      <c r="M30" t="n">
        <v>0.54</v>
      </c>
      <c r="N30" t="n">
        <v>50</v>
      </c>
      <c r="O30" t="n">
        <v>22.24</v>
      </c>
      <c r="Q30" t="n">
        <v>173.64</v>
      </c>
      <c r="R30" t="n">
        <v>71.995</v>
      </c>
      <c r="S30" t="n">
        <v>4.2</v>
      </c>
      <c r="T30" t="n">
        <v>4174.77</v>
      </c>
      <c r="U30" t="n">
        <v>-0.01</v>
      </c>
      <c r="V30" t="n">
        <v>0</v>
      </c>
    </row>
    <row r="31">
      <c r="A31" t="inlineStr">
        <is>
          <t>2026-07-06 12:55:53</t>
        </is>
      </c>
      <c r="B31" t="n">
        <v>870.5</v>
      </c>
      <c r="C31" t="n">
        <v>4.88</v>
      </c>
      <c r="D31" t="n">
        <v>122.5938713264953</v>
      </c>
      <c r="E31" t="n">
        <v>2.5</v>
      </c>
      <c r="F31" t="n">
        <v>2.25</v>
      </c>
      <c r="G31" t="n">
        <v>100.9489</v>
      </c>
      <c r="H31" t="n">
        <v>-3.24</v>
      </c>
      <c r="I31" t="n">
        <v>67.30948527031401</v>
      </c>
      <c r="J31" t="n">
        <v>2.437174355157277</v>
      </c>
      <c r="K31" t="n">
        <v>39.25</v>
      </c>
      <c r="L31" t="n">
        <v>50</v>
      </c>
      <c r="M31" t="n">
        <v>0.54</v>
      </c>
      <c r="N31" t="n">
        <v>50</v>
      </c>
      <c r="O31" t="n">
        <v>22.24</v>
      </c>
      <c r="Q31" t="n">
        <v>173.64</v>
      </c>
      <c r="R31" t="n">
        <v>71.81100000000001</v>
      </c>
      <c r="S31" t="n">
        <v>4.2</v>
      </c>
      <c r="T31" t="n">
        <v>4158.38</v>
      </c>
      <c r="U31" t="n">
        <v>-0.01</v>
      </c>
      <c r="V31" t="n">
        <v>0.08</v>
      </c>
    </row>
    <row r="32">
      <c r="A32" t="inlineStr">
        <is>
          <t>2026-07-06 13:09:11</t>
        </is>
      </c>
      <c r="B32" t="n">
        <v>870.5</v>
      </c>
      <c r="C32" t="n">
        <v>4.88</v>
      </c>
      <c r="D32" t="n">
        <v>122.5938713264953</v>
      </c>
      <c r="E32" t="n">
        <v>2.5</v>
      </c>
      <c r="F32" t="n">
        <v>2.25</v>
      </c>
      <c r="G32" t="n">
        <v>100.9831</v>
      </c>
      <c r="H32" t="n">
        <v>-3.24</v>
      </c>
      <c r="I32" t="n">
        <v>67.28511258707275</v>
      </c>
      <c r="J32" t="n">
        <v>2.434320109246702</v>
      </c>
      <c r="K32" t="n">
        <v>39.25</v>
      </c>
      <c r="L32" t="n">
        <v>50</v>
      </c>
      <c r="M32" t="n">
        <v>0.54</v>
      </c>
      <c r="N32" t="n">
        <v>50</v>
      </c>
      <c r="O32" t="n">
        <v>22.24</v>
      </c>
      <c r="Q32" t="n">
        <v>173.64</v>
      </c>
      <c r="R32" t="n">
        <v>72</v>
      </c>
      <c r="S32" t="n">
        <v>4.2</v>
      </c>
      <c r="T32" t="n">
        <v>4153.51</v>
      </c>
      <c r="U32" t="n">
        <v>-0.01</v>
      </c>
      <c r="V32" t="n">
        <v>0.12</v>
      </c>
    </row>
    <row r="33">
      <c r="A33" t="inlineStr">
        <is>
          <t>2026-07-07 12:51:21</t>
        </is>
      </c>
      <c r="B33" t="n">
        <v>870.5</v>
      </c>
      <c r="C33" t="n">
        <v>4.88</v>
      </c>
      <c r="D33" t="n">
        <v>122.5938713264953</v>
      </c>
      <c r="E33" t="n">
        <v>2.5</v>
      </c>
      <c r="F33" t="n">
        <v>2.26</v>
      </c>
      <c r="G33" t="n">
        <v>100.8592</v>
      </c>
      <c r="H33" t="n">
        <v>-2.88</v>
      </c>
      <c r="I33" t="n">
        <v>67.7481542247744</v>
      </c>
      <c r="J33" t="n">
        <v>2.420101627564865</v>
      </c>
      <c r="K33" t="n">
        <v>44.4</v>
      </c>
      <c r="L33" t="n">
        <v>50</v>
      </c>
      <c r="M33" t="n">
        <v>0.402</v>
      </c>
      <c r="N33" t="n">
        <v>50</v>
      </c>
      <c r="O33" t="n">
        <v>21.49</v>
      </c>
      <c r="P33" t="n">
        <v>1.52</v>
      </c>
      <c r="Q33" t="n">
        <v>173.64</v>
      </c>
      <c r="R33" t="n">
        <v>72.52200000000001</v>
      </c>
      <c r="S33" t="n">
        <v>4.2</v>
      </c>
      <c r="T33" t="n">
        <v>4129.25</v>
      </c>
      <c r="U33" t="n">
        <v>-0.01</v>
      </c>
      <c r="V33" t="n">
        <v>-0.01</v>
      </c>
    </row>
    <row r="34">
      <c r="A34" t="inlineStr">
        <is>
          <t>2026-07-08 12:13:21</t>
        </is>
      </c>
      <c r="B34" t="n">
        <v>870.5</v>
      </c>
      <c r="C34" t="n">
        <v>4.88</v>
      </c>
      <c r="D34" t="n">
        <v>122.5938713264953</v>
      </c>
      <c r="E34" t="n">
        <v>2.5</v>
      </c>
      <c r="F34" t="n">
        <v>2.24</v>
      </c>
      <c r="G34" t="n">
        <v>101.1102</v>
      </c>
      <c r="H34" t="n">
        <v>-2.59</v>
      </c>
      <c r="I34" t="n">
        <v>68.3762015246934</v>
      </c>
      <c r="J34" t="n">
        <v>2.418091347590887</v>
      </c>
      <c r="K34" t="n">
        <v>46.2</v>
      </c>
      <c r="L34" t="n">
        <v>50</v>
      </c>
      <c r="M34" t="n">
        <v>0.368</v>
      </c>
      <c r="N34" t="n">
        <v>50</v>
      </c>
      <c r="O34" t="n">
        <v>21.69</v>
      </c>
      <c r="P34" t="n">
        <v>1.45</v>
      </c>
      <c r="Q34" t="n">
        <v>173.64</v>
      </c>
      <c r="R34" t="n">
        <v>76.143</v>
      </c>
      <c r="S34" t="n">
        <v>4.2</v>
      </c>
      <c r="T34" t="n">
        <v>4125.82</v>
      </c>
      <c r="U34" t="n">
        <v>-0.01</v>
      </c>
      <c r="V34" t="n">
        <v>0.02</v>
      </c>
    </row>
    <row r="35">
      <c r="A35" t="inlineStr">
        <is>
          <t>2026-07-09 12:51:15</t>
        </is>
      </c>
      <c r="B35" t="n">
        <v>870.5</v>
      </c>
      <c r="C35" t="n">
        <v>4.88</v>
      </c>
      <c r="D35" t="n">
        <v>122.5938713264953</v>
      </c>
      <c r="E35" t="n">
        <v>2.5</v>
      </c>
      <c r="F35" t="n">
        <v>2.3</v>
      </c>
      <c r="G35" t="n">
        <v>100.9757</v>
      </c>
      <c r="H35" t="n">
        <v>-2.59</v>
      </c>
      <c r="I35" t="n">
        <v>70.11183983431137</v>
      </c>
      <c r="J35" t="n">
        <v>2.380851350638542</v>
      </c>
      <c r="K35" t="n">
        <v>49.37</v>
      </c>
      <c r="L35" t="n">
        <v>50</v>
      </c>
      <c r="M35" t="n">
        <v>0.166</v>
      </c>
      <c r="N35" t="n">
        <v>50</v>
      </c>
      <c r="O35" t="n">
        <v>22.01</v>
      </c>
      <c r="P35" t="n">
        <v>1.44</v>
      </c>
      <c r="Q35" t="n">
        <v>173.64</v>
      </c>
      <c r="R35" t="n">
        <v>78.89700000000001</v>
      </c>
      <c r="S35" t="n">
        <v>4.2</v>
      </c>
      <c r="T35" t="n">
        <v>4062.28</v>
      </c>
      <c r="U35" t="n">
        <v>-0.01</v>
      </c>
      <c r="V35" t="n">
        <v>-0.09</v>
      </c>
    </row>
    <row r="36">
      <c r="A36" t="inlineStr">
        <is>
          <t>2026-07-10 12:50:40</t>
        </is>
      </c>
      <c r="B36" t="n">
        <v>870.5</v>
      </c>
      <c r="C36" t="n">
        <v>4.88</v>
      </c>
      <c r="D36" t="n">
        <v>122.5938713264953</v>
      </c>
      <c r="E36" t="n">
        <v>2.5</v>
      </c>
      <c r="F36" t="n">
        <v>2.31</v>
      </c>
      <c r="G36" t="n">
        <v>100.7793</v>
      </c>
      <c r="H36" t="n">
        <v>-2.26</v>
      </c>
      <c r="I36" t="n">
        <v>68.19711777372868</v>
      </c>
      <c r="J36" t="n">
        <v>2.412957221476589</v>
      </c>
      <c r="K36" t="n">
        <v>55.87</v>
      </c>
      <c r="L36" t="n">
        <v>50</v>
      </c>
      <c r="M36" t="n">
        <v>0.124</v>
      </c>
      <c r="N36" t="n">
        <v>50</v>
      </c>
      <c r="O36" t="n">
        <v>21.58</v>
      </c>
      <c r="P36" t="n">
        <v>1.46</v>
      </c>
      <c r="Q36" t="n">
        <v>173.64</v>
      </c>
      <c r="R36" t="n">
        <v>76.565</v>
      </c>
      <c r="S36" t="n">
        <v>4.2</v>
      </c>
      <c r="T36" t="n">
        <v>4117.06</v>
      </c>
      <c r="U36" t="n">
        <v>-0.01</v>
      </c>
      <c r="V36" t="n">
        <v>-0.15</v>
      </c>
    </row>
    <row r="37">
      <c r="A37" t="inlineStr">
        <is>
          <t>2026-07-11 12:11:44</t>
        </is>
      </c>
      <c r="B37" t="n">
        <v>870.5</v>
      </c>
      <c r="C37" t="n">
        <v>4.88</v>
      </c>
      <c r="D37" t="n">
        <v>122.5938713264953</v>
      </c>
      <c r="E37" t="n">
        <v>2.5</v>
      </c>
      <c r="F37" t="n">
        <v>2.31</v>
      </c>
      <c r="G37" t="n">
        <v>100.9609</v>
      </c>
      <c r="H37" t="n">
        <v>-2.49</v>
      </c>
      <c r="I37" t="n">
        <v>68.83372326203208</v>
      </c>
      <c r="J37" t="n">
        <v>2.414100092015731</v>
      </c>
      <c r="K37" t="n">
        <v>42.04</v>
      </c>
      <c r="L37" t="n">
        <v>50</v>
      </c>
      <c r="M37" t="n">
        <v>-0.07199999999999999</v>
      </c>
      <c r="N37" t="n">
        <v>50</v>
      </c>
      <c r="O37" t="n">
        <v>21.13</v>
      </c>
      <c r="P37" t="n">
        <v>1.44</v>
      </c>
      <c r="Q37" t="n">
        <v>173.64</v>
      </c>
      <c r="R37" t="n">
        <v>75.229</v>
      </c>
      <c r="S37" t="n">
        <v>4.2</v>
      </c>
      <c r="T37" t="n">
        <v>4119.01</v>
      </c>
      <c r="U37" t="n">
        <v>-0.02</v>
      </c>
      <c r="V37" t="n">
        <v>0.03</v>
      </c>
    </row>
    <row r="38">
      <c r="A38" t="inlineStr">
        <is>
          <t>2026-07-12 12:24:23</t>
        </is>
      </c>
      <c r="B38" t="n">
        <v>870.5</v>
      </c>
      <c r="C38" t="n">
        <v>4.88</v>
      </c>
      <c r="D38" t="n">
        <v>122.5938713264953</v>
      </c>
      <c r="E38" t="n">
        <v>2.5</v>
      </c>
      <c r="F38" t="n">
        <v>2.31</v>
      </c>
      <c r="G38" t="n">
        <v>100.9609</v>
      </c>
      <c r="H38" t="n">
        <v>-2.49</v>
      </c>
      <c r="I38" t="n">
        <v>68.83372326203208</v>
      </c>
      <c r="J38" t="n">
        <v>2.414100092015731</v>
      </c>
      <c r="K38" t="n">
        <v>42.04</v>
      </c>
      <c r="L38" t="n">
        <v>50</v>
      </c>
      <c r="M38" t="n">
        <v>-0.07199999999999999</v>
      </c>
      <c r="N38" t="n">
        <v>50</v>
      </c>
      <c r="O38" t="n">
        <v>21.13</v>
      </c>
      <c r="P38" t="n">
        <v>1.44</v>
      </c>
      <c r="Q38" t="n">
        <v>173.64</v>
      </c>
      <c r="R38" t="n">
        <v>75.229</v>
      </c>
      <c r="S38" t="n">
        <v>4.2</v>
      </c>
      <c r="T38" t="n">
        <v>4119.01</v>
      </c>
      <c r="U38" t="n">
        <v>-0.02</v>
      </c>
      <c r="V38" t="n">
        <v>0.03</v>
      </c>
    </row>
    <row r="39">
      <c r="A39" t="inlineStr">
        <is>
          <t>2026-07-13 12:29:28</t>
        </is>
      </c>
      <c r="B39" t="n">
        <v>870.5</v>
      </c>
      <c r="C39" t="n">
        <v>4.88</v>
      </c>
      <c r="D39" t="n">
        <v>122.5938713264953</v>
      </c>
      <c r="E39" t="n">
        <v>2.5</v>
      </c>
      <c r="F39" t="n">
        <v>2.31</v>
      </c>
      <c r="G39" t="n">
        <v>101.108</v>
      </c>
      <c r="H39" t="n">
        <v>-2.49</v>
      </c>
      <c r="I39" t="n">
        <v>69.79579889807162</v>
      </c>
      <c r="J39" t="n">
        <v>2.375846163764557</v>
      </c>
      <c r="K39" t="n">
        <v>42.04</v>
      </c>
      <c r="L39" t="n">
        <v>50</v>
      </c>
      <c r="M39" t="n">
        <v>-0.07199999999999999</v>
      </c>
      <c r="N39" t="n">
        <v>50</v>
      </c>
      <c r="O39" t="n">
        <v>21.13</v>
      </c>
      <c r="P39" t="n">
        <v>1.44</v>
      </c>
      <c r="Q39" t="n">
        <v>173.64</v>
      </c>
      <c r="R39" t="n">
        <v>79.163</v>
      </c>
      <c r="S39" t="n">
        <v>4.2</v>
      </c>
      <c r="T39" t="n">
        <v>4053.74</v>
      </c>
      <c r="U39" t="n">
        <v>-0.01</v>
      </c>
      <c r="V39" t="n">
        <v>0.15</v>
      </c>
    </row>
    <row r="40">
      <c r="A40" t="inlineStr">
        <is>
          <t>2026-07-14 11:55:32</t>
        </is>
      </c>
      <c r="B40" t="n">
        <v>870.5</v>
      </c>
      <c r="C40" t="n">
        <v>4.88</v>
      </c>
      <c r="D40" t="n">
        <v>122.5938713264953</v>
      </c>
      <c r="E40" t="n">
        <v>2.5</v>
      </c>
      <c r="F40" t="n">
        <v>2.32</v>
      </c>
      <c r="G40" t="n">
        <v>101.172</v>
      </c>
      <c r="H40" t="n">
        <v>-2.49</v>
      </c>
      <c r="I40" t="n">
        <v>69.67308359347902</v>
      </c>
      <c r="J40" t="n">
        <v>2.354518441241802</v>
      </c>
      <c r="K40" t="n">
        <v>40.33</v>
      </c>
      <c r="L40" t="n">
        <v>50</v>
      </c>
      <c r="M40" t="n">
        <v>-0.424</v>
      </c>
      <c r="N40" t="n">
        <v>50</v>
      </c>
      <c r="O40" t="n">
        <v>21.78</v>
      </c>
      <c r="P40" t="n">
        <v>1.38</v>
      </c>
      <c r="Q40" t="n">
        <v>173.64</v>
      </c>
      <c r="R40" t="n">
        <v>84.544</v>
      </c>
      <c r="S40" t="n">
        <v>4.2</v>
      </c>
      <c r="T40" t="n">
        <v>4017.35</v>
      </c>
      <c r="U40" t="n">
        <v>-0.01</v>
      </c>
      <c r="V40" t="n">
        <v>-0.13</v>
      </c>
    </row>
    <row r="41">
      <c r="A41" t="inlineStr">
        <is>
          <t>2026-07-15 11:56:57</t>
        </is>
      </c>
      <c r="B41" t="n">
        <v>870.5</v>
      </c>
      <c r="C41" t="n">
        <v>4.88</v>
      </c>
      <c r="D41" t="n">
        <v>122.5938713264953</v>
      </c>
      <c r="E41" t="n">
        <v>2.5</v>
      </c>
      <c r="F41" t="n">
        <v>2.36</v>
      </c>
      <c r="G41" t="n">
        <v>100.7977</v>
      </c>
      <c r="H41" t="n">
        <v>-2.18</v>
      </c>
      <c r="I41" t="n">
        <v>69.03749999999999</v>
      </c>
      <c r="J41" t="n">
        <v>2.362981544106011</v>
      </c>
      <c r="K41" t="n">
        <v>51.8</v>
      </c>
      <c r="L41" t="n">
        <v>50</v>
      </c>
      <c r="M41" t="n">
        <v>-0.526</v>
      </c>
      <c r="N41" t="n">
        <v>50</v>
      </c>
      <c r="O41" t="n">
        <v>21.51</v>
      </c>
      <c r="P41" t="n">
        <v>1.42</v>
      </c>
      <c r="Q41" t="n">
        <v>173.64</v>
      </c>
      <c r="R41" t="n">
        <v>85.783</v>
      </c>
      <c r="S41" t="n">
        <v>3.5</v>
      </c>
      <c r="T41" t="n">
        <v>4031.79</v>
      </c>
      <c r="U41" t="n">
        <v>-0.01</v>
      </c>
      <c r="V41" t="n">
        <v>-0.13</v>
      </c>
    </row>
    <row r="42">
      <c r="A42" t="inlineStr">
        <is>
          <t>2026-07-16 12:07:34</t>
        </is>
      </c>
      <c r="B42" t="n">
        <v>870.5</v>
      </c>
      <c r="C42" t="n">
        <v>4.88</v>
      </c>
      <c r="D42" t="n">
        <v>122.5938713264953</v>
      </c>
      <c r="E42" t="n">
        <v>2.5</v>
      </c>
      <c r="F42" t="n">
        <v>2.33</v>
      </c>
      <c r="G42" t="n">
        <v>100.5147</v>
      </c>
      <c r="H42" t="n">
        <v>-2.27</v>
      </c>
      <c r="I42" t="n">
        <v>70.59740941711885</v>
      </c>
      <c r="J42" t="n">
        <v>2.363825510042608</v>
      </c>
      <c r="K42" t="n">
        <v>44.64</v>
      </c>
      <c r="L42" t="n">
        <v>50</v>
      </c>
      <c r="M42" t="n">
        <v>-0.498</v>
      </c>
      <c r="N42" t="n">
        <v>50</v>
      </c>
      <c r="O42" t="n">
        <v>20.85</v>
      </c>
      <c r="P42" t="n">
        <v>1.45</v>
      </c>
      <c r="Q42" t="n">
        <v>173.64</v>
      </c>
      <c r="R42" t="n">
        <v>84.756</v>
      </c>
      <c r="S42" t="n">
        <v>3.5</v>
      </c>
      <c r="T42" t="n">
        <v>4033.23</v>
      </c>
      <c r="U42" t="n">
        <v>-0.01</v>
      </c>
      <c r="V42" t="n">
        <v>0</v>
      </c>
    </row>
    <row r="43">
      <c r="A43" t="inlineStr">
        <is>
          <t>2026-07-17 11:58:34</t>
        </is>
      </c>
      <c r="B43" t="n">
        <v>870.5</v>
      </c>
      <c r="C43" t="n">
        <v>4.88</v>
      </c>
      <c r="D43" t="n">
        <v>122.5938713264953</v>
      </c>
      <c r="E43" t="n">
        <v>2.5</v>
      </c>
      <c r="F43" t="n">
        <v>2.32</v>
      </c>
      <c r="G43" t="n">
        <v>100.7602</v>
      </c>
      <c r="H43" t="n">
        <v>-2.27</v>
      </c>
      <c r="I43" t="n">
        <v>72.0588553890594</v>
      </c>
      <c r="J43" t="n">
        <v>2.339274306512018</v>
      </c>
      <c r="K43" t="n">
        <v>31.6</v>
      </c>
      <c r="L43" t="n">
        <v>50</v>
      </c>
      <c r="M43" t="n">
        <v>-0.57</v>
      </c>
      <c r="N43" t="n">
        <v>50</v>
      </c>
      <c r="O43" t="n">
        <v>21.45</v>
      </c>
      <c r="P43" t="n">
        <v>1.43</v>
      </c>
      <c r="Q43" t="n">
        <v>173.64</v>
      </c>
      <c r="R43" t="n">
        <v>85.01300000000001</v>
      </c>
      <c r="S43" t="n">
        <v>3.5</v>
      </c>
      <c r="T43" t="n">
        <v>3991.34</v>
      </c>
      <c r="U43" t="n">
        <v>-0.01</v>
      </c>
      <c r="V43" t="n">
        <v>0.04</v>
      </c>
    </row>
    <row r="44">
      <c r="A44" t="inlineStr">
        <is>
          <t>2026-07-18 11:53:37</t>
        </is>
      </c>
      <c r="B44" t="n">
        <v>870.5</v>
      </c>
      <c r="C44" t="n">
        <v>4.88</v>
      </c>
      <c r="D44" t="n">
        <v>122.5938713264953</v>
      </c>
      <c r="E44" t="n">
        <v>2.5</v>
      </c>
      <c r="F44" t="n">
        <v>2.35</v>
      </c>
      <c r="G44" t="n">
        <v>100.7617</v>
      </c>
      <c r="H44" t="n">
        <v>-2.05</v>
      </c>
      <c r="I44" t="n">
        <v>71.86187153336913</v>
      </c>
      <c r="J44" t="n">
        <v>2.353938214660392</v>
      </c>
      <c r="K44" t="n">
        <v>41.87</v>
      </c>
      <c r="L44" t="n">
        <v>50</v>
      </c>
      <c r="M44" t="n">
        <v>-0.422</v>
      </c>
      <c r="N44" t="n">
        <v>50</v>
      </c>
      <c r="O44" t="n">
        <v>22.48</v>
      </c>
      <c r="P44" t="n">
        <v>1.45</v>
      </c>
      <c r="Q44" t="n">
        <v>173.64</v>
      </c>
      <c r="R44" t="n">
        <v>88.273</v>
      </c>
      <c r="S44" t="n">
        <v>3.5</v>
      </c>
      <c r="T44" t="n">
        <v>4016.36</v>
      </c>
      <c r="U44" t="n">
        <v>-0.02</v>
      </c>
      <c r="V44" t="n">
        <v>0.04</v>
      </c>
    </row>
    <row r="45">
      <c r="A45" t="inlineStr">
        <is>
          <t>2026-07-19 12:22:42</t>
        </is>
      </c>
      <c r="B45" t="n">
        <v>870.5</v>
      </c>
      <c r="C45" t="n">
        <v>4.88</v>
      </c>
      <c r="D45" t="n">
        <v>122.5938713264953</v>
      </c>
      <c r="E45" t="n">
        <v>2.5</v>
      </c>
      <c r="F45" t="n">
        <v>2.35</v>
      </c>
      <c r="G45" t="n">
        <v>100.7617</v>
      </c>
      <c r="H45" t="n">
        <v>-2.05</v>
      </c>
      <c r="I45" t="n">
        <v>71.86187153336913</v>
      </c>
      <c r="J45" t="n">
        <v>2.353938214660392</v>
      </c>
      <c r="K45" t="n">
        <v>41.87</v>
      </c>
      <c r="L45" t="n">
        <v>50</v>
      </c>
      <c r="M45" t="n">
        <v>-0.422</v>
      </c>
      <c r="N45" t="n">
        <v>50</v>
      </c>
      <c r="O45" t="n">
        <v>22.48</v>
      </c>
      <c r="P45" t="n">
        <v>1.45</v>
      </c>
      <c r="Q45" t="n">
        <v>173.64</v>
      </c>
      <c r="R45" t="n">
        <v>88.273</v>
      </c>
      <c r="S45" t="n">
        <v>3.5</v>
      </c>
      <c r="T45" t="n">
        <v>4016.36</v>
      </c>
      <c r="U45" t="n">
        <v>-0.02</v>
      </c>
      <c r="V45" t="n">
        <v>0.04</v>
      </c>
    </row>
    <row r="46">
      <c r="A46" t="inlineStr">
        <is>
          <t>2026-07-20 12:34:40</t>
        </is>
      </c>
      <c r="B46" t="n">
        <v>870.5</v>
      </c>
      <c r="C46" t="n">
        <v>4.88</v>
      </c>
      <c r="D46" t="n">
        <v>122.5938713264953</v>
      </c>
      <c r="E46" t="n">
        <v>2.5</v>
      </c>
      <c r="F46" t="n">
        <v>2.35</v>
      </c>
      <c r="G46" t="n">
        <v>100.6961</v>
      </c>
      <c r="H46" t="n">
        <v>-2.05</v>
      </c>
      <c r="I46" t="n">
        <v>70.64389815627743</v>
      </c>
      <c r="J46" t="n">
        <v>2.357929470235549</v>
      </c>
      <c r="K46" t="n">
        <v>41.87</v>
      </c>
      <c r="L46" t="n">
        <v>50</v>
      </c>
      <c r="M46" t="n">
        <v>-0.422</v>
      </c>
      <c r="N46" t="n">
        <v>50</v>
      </c>
      <c r="O46" t="n">
        <v>22.48</v>
      </c>
      <c r="P46" t="n">
        <v>1.45</v>
      </c>
      <c r="Q46" t="n">
        <v>173.64</v>
      </c>
      <c r="R46" t="n">
        <v>90.43899999999999</v>
      </c>
      <c r="S46" t="n">
        <v>3.5</v>
      </c>
      <c r="T46" t="n">
        <v>4023.17</v>
      </c>
      <c r="U46" t="n">
        <v>-0.01</v>
      </c>
      <c r="V46" t="n">
        <v>-0.07000000000000001</v>
      </c>
    </row>
    <row r="47">
      <c r="A47" t="inlineStr">
        <is>
          <t>2026-07-21 12:14:05</t>
        </is>
      </c>
      <c r="B47" t="n">
        <v>870.5</v>
      </c>
      <c r="C47" t="n">
        <v>4.88</v>
      </c>
      <c r="D47" t="n">
        <v>122.5938713264953</v>
      </c>
      <c r="E47" t="n">
        <v>2.5</v>
      </c>
      <c r="F47" t="n">
        <v>2.31</v>
      </c>
      <c r="G47" t="n">
        <v>100.9603</v>
      </c>
      <c r="H47" t="n">
        <v>-1.27</v>
      </c>
      <c r="I47" t="n">
        <v>69.98996713371389</v>
      </c>
      <c r="J47" t="n">
        <v>2.371380177350064</v>
      </c>
      <c r="K47" t="n">
        <v>45.26</v>
      </c>
      <c r="L47" t="n">
        <v>50</v>
      </c>
      <c r="M47" t="n">
        <v>-0.228</v>
      </c>
      <c r="N47" t="n">
        <v>50</v>
      </c>
      <c r="O47" t="n">
        <v>22.12</v>
      </c>
      <c r="P47" t="n">
        <v>1.4</v>
      </c>
      <c r="Q47" t="n">
        <v>173.64</v>
      </c>
      <c r="R47" t="n">
        <v>88.43300000000001</v>
      </c>
      <c r="S47" t="n">
        <v>3.5</v>
      </c>
      <c r="T47" t="n">
        <v>4046.12</v>
      </c>
      <c r="U47" t="n">
        <v>-0.01</v>
      </c>
      <c r="V47" t="n">
        <v>-0.01</v>
      </c>
    </row>
    <row r="48">
      <c r="A48" t="inlineStr">
        <is>
          <t>2026-07-22 12:15:31</t>
        </is>
      </c>
      <c r="B48" t="n">
        <v>870.5</v>
      </c>
      <c r="C48" t="n">
        <v>4.88</v>
      </c>
      <c r="D48" t="n">
        <v>122.5938713264953</v>
      </c>
      <c r="E48" t="n">
        <v>2.5</v>
      </c>
      <c r="F48" t="n">
        <v>2.35</v>
      </c>
      <c r="G48" t="n">
        <v>101.1504</v>
      </c>
      <c r="H48" t="n">
        <v>-0.77</v>
      </c>
      <c r="I48" t="n">
        <v>69.11319490957803</v>
      </c>
      <c r="J48" t="n">
        <v>2.419040809269559</v>
      </c>
      <c r="K48" t="n">
        <v>42.88</v>
      </c>
      <c r="L48" t="n">
        <v>50</v>
      </c>
      <c r="M48" t="n">
        <v>-0.272</v>
      </c>
      <c r="N48" t="n">
        <v>50</v>
      </c>
      <c r="O48" t="n">
        <v>21.37</v>
      </c>
      <c r="P48" t="n">
        <v>1.37</v>
      </c>
      <c r="Q48" t="n">
        <v>173.64</v>
      </c>
      <c r="R48" t="n">
        <v>92.26000000000001</v>
      </c>
      <c r="S48" t="n">
        <v>3.5</v>
      </c>
      <c r="T48" t="n">
        <v>4127.44</v>
      </c>
      <c r="U48" t="n">
        <v>-0.01</v>
      </c>
      <c r="V48" t="n">
        <v>-0.06</v>
      </c>
    </row>
    <row r="49">
      <c r="A49" t="inlineStr">
        <is>
          <t>2026-07-23 12:14:27</t>
        </is>
      </c>
      <c r="B49" t="n">
        <v>870.5</v>
      </c>
      <c r="C49" t="n">
        <v>4.88</v>
      </c>
      <c r="D49" t="n">
        <v>122.5938713264953</v>
      </c>
      <c r="E49" t="n">
        <v>2.5</v>
      </c>
      <c r="F49" t="n">
        <v>2.37</v>
      </c>
      <c r="G49" t="n">
        <v>100.949</v>
      </c>
      <c r="H49" t="n">
        <v>-0.43</v>
      </c>
      <c r="I49" t="n">
        <v>68.96590909090909</v>
      </c>
      <c r="J49" t="n">
        <v>2.418736043792455</v>
      </c>
      <c r="K49" t="n">
        <v>40.58</v>
      </c>
      <c r="L49" t="n">
        <v>50</v>
      </c>
      <c r="M49" t="n">
        <v>-0.286</v>
      </c>
      <c r="N49" t="n">
        <v>50</v>
      </c>
      <c r="O49" t="n">
        <v>21.55</v>
      </c>
      <c r="P49" t="n">
        <v>1.33</v>
      </c>
      <c r="Q49" t="n">
        <v>173.64</v>
      </c>
      <c r="R49" t="n">
        <v>91.60599999999999</v>
      </c>
      <c r="S49" t="n">
        <v>3.5</v>
      </c>
      <c r="T49" t="n">
        <v>4126.92</v>
      </c>
      <c r="U49" t="n">
        <v>-0.01</v>
      </c>
      <c r="V49" t="n">
        <v>-0.17</v>
      </c>
    </row>
    <row r="50">
      <c r="A50" t="inlineStr">
        <is>
          <t>2026-07-24 12:12:52</t>
        </is>
      </c>
      <c r="B50" t="n">
        <v>870.5</v>
      </c>
      <c r="C50" t="n">
        <v>4.88</v>
      </c>
      <c r="D50" t="n">
        <v>122.5938713264953</v>
      </c>
      <c r="E50" t="n">
        <v>2.5</v>
      </c>
      <c r="F50" t="n">
        <v>2.39</v>
      </c>
      <c r="G50" t="n">
        <v>101.4056</v>
      </c>
      <c r="H50" t="n">
        <v>-0.37</v>
      </c>
      <c r="I50" t="n">
        <v>70.41566159762279</v>
      </c>
      <c r="J50" t="n">
        <v>2.256232182762155</v>
      </c>
      <c r="K50" t="n">
        <v>41.04</v>
      </c>
      <c r="L50" t="n">
        <v>50</v>
      </c>
      <c r="M50" t="n">
        <v>-0.354</v>
      </c>
      <c r="N50" t="n">
        <v>50</v>
      </c>
      <c r="O50" t="n">
        <v>22.52</v>
      </c>
      <c r="P50" t="n">
        <v>1.29</v>
      </c>
      <c r="Q50" t="n">
        <v>173.64</v>
      </c>
      <c r="R50" t="n">
        <v>93.792</v>
      </c>
      <c r="S50" t="n">
        <v>3.5</v>
      </c>
      <c r="T50" t="n">
        <v>4028.48</v>
      </c>
      <c r="U50" t="n">
        <v>-0.01</v>
      </c>
      <c r="V50" t="n">
        <v>-0.04</v>
      </c>
    </row>
    <row r="51">
      <c r="A51" t="inlineStr">
        <is>
          <t>2026-07-25 12:08:44</t>
        </is>
      </c>
      <c r="B51" t="n">
        <v>870.5</v>
      </c>
      <c r="C51" t="n">
        <v>4.88</v>
      </c>
      <c r="D51" t="n">
        <v>122.5938713264953</v>
      </c>
      <c r="E51" t="n">
        <v>2.5</v>
      </c>
      <c r="F51" t="n">
        <v>2.43</v>
      </c>
      <c r="G51" t="n">
        <v>101.4647</v>
      </c>
      <c r="H51" t="n">
        <v>-0.37</v>
      </c>
      <c r="I51" t="n">
        <v>69.66809900309384</v>
      </c>
      <c r="J51" t="n">
        <v>2.270127528017519</v>
      </c>
      <c r="K51" t="n">
        <v>47.51</v>
      </c>
      <c r="L51" t="n">
        <v>50</v>
      </c>
      <c r="M51" t="n">
        <v>-0.648</v>
      </c>
      <c r="N51" t="n">
        <v>50</v>
      </c>
      <c r="O51" t="n">
        <v>22.36</v>
      </c>
      <c r="P51" t="n">
        <v>1.31</v>
      </c>
      <c r="Q51" t="n">
        <v>173.64</v>
      </c>
      <c r="R51" t="n">
        <v>92.95399999999999</v>
      </c>
      <c r="S51" t="n">
        <v>3.5</v>
      </c>
      <c r="T51" t="n">
        <v>4053.29</v>
      </c>
      <c r="U51" t="n">
        <v>-0.01</v>
      </c>
      <c r="V51" t="n">
        <v>0.02</v>
      </c>
    </row>
    <row r="52">
      <c r="A52" t="inlineStr">
        <is>
          <t>2026-07-26 12:24:25</t>
        </is>
      </c>
      <c r="B52" t="n">
        <v>870.5</v>
      </c>
      <c r="C52" t="n">
        <v>4.88</v>
      </c>
      <c r="D52" t="n">
        <v>122.5938713264953</v>
      </c>
      <c r="E52" t="n">
        <v>2.5</v>
      </c>
      <c r="F52" t="n">
        <v>2.43</v>
      </c>
      <c r="G52" t="n">
        <v>101.4647</v>
      </c>
      <c r="H52" t="n">
        <v>-0.37</v>
      </c>
      <c r="I52" t="n">
        <v>69.66809900309384</v>
      </c>
      <c r="J52" t="n">
        <v>2.270127528017519</v>
      </c>
      <c r="K52" t="n">
        <v>47.51</v>
      </c>
      <c r="L52" t="n">
        <v>50</v>
      </c>
      <c r="M52" t="n">
        <v>-0.648</v>
      </c>
      <c r="N52" t="n">
        <v>50</v>
      </c>
      <c r="O52" t="n">
        <v>22.36</v>
      </c>
      <c r="P52" t="n">
        <v>1.31</v>
      </c>
      <c r="Q52" t="n">
        <v>173.64</v>
      </c>
      <c r="R52" t="n">
        <v>92.95399999999999</v>
      </c>
      <c r="S52" t="n">
        <v>3.5</v>
      </c>
      <c r="T52" t="n">
        <v>4053.29</v>
      </c>
      <c r="U52" t="n">
        <v>-0.01</v>
      </c>
      <c r="V52" t="n">
        <v>0.02</v>
      </c>
    </row>
    <row r="53">
      <c r="A53" t="inlineStr">
        <is>
          <t>2026-07-27 12:35:35</t>
        </is>
      </c>
      <c r="B53" t="n">
        <v>870.5</v>
      </c>
      <c r="C53" t="n">
        <v>4.88</v>
      </c>
      <c r="D53" t="n">
        <v>122.5938713264953</v>
      </c>
      <c r="E53" t="n">
        <v>2.5</v>
      </c>
      <c r="F53" t="n">
        <v>2.43</v>
      </c>
      <c r="G53" t="n">
        <v>101.211</v>
      </c>
      <c r="H53" t="n">
        <v>-0.37</v>
      </c>
      <c r="I53" t="n">
        <v>69.02632467094162</v>
      </c>
      <c r="J53" t="n">
        <v>2.290967745548841</v>
      </c>
      <c r="K53" t="n">
        <v>47.51</v>
      </c>
      <c r="L53" t="n">
        <v>50</v>
      </c>
      <c r="M53" t="n">
        <v>-0.648</v>
      </c>
      <c r="N53" t="n">
        <v>50</v>
      </c>
      <c r="O53" t="n">
        <v>22.36</v>
      </c>
      <c r="P53" t="n">
        <v>1.31</v>
      </c>
      <c r="Q53" t="n">
        <v>173.64</v>
      </c>
      <c r="R53" t="n">
        <v>87.69</v>
      </c>
      <c r="S53" t="n">
        <v>3.5</v>
      </c>
      <c r="T53" t="n">
        <v>4090.5</v>
      </c>
      <c r="U53" t="n">
        <v>-0.01</v>
      </c>
      <c r="V53" t="n">
        <v>-0.25</v>
      </c>
    </row>
    <row r="54">
      <c r="A54" t="inlineStr">
        <is>
          <t>2026-07-28 12:07:10</t>
        </is>
      </c>
      <c r="B54" t="n">
        <v>870.5</v>
      </c>
      <c r="C54" t="n">
        <v>4.88</v>
      </c>
      <c r="D54" t="n">
        <v>122.5938713264953</v>
      </c>
      <c r="E54" t="n">
        <v>2.5</v>
      </c>
      <c r="F54" t="n">
        <v>2.43</v>
      </c>
      <c r="G54" t="n">
        <v>101.4988</v>
      </c>
      <c r="H54" t="n">
        <v>-0.37</v>
      </c>
      <c r="I54" t="n">
        <v>70.62663641124105</v>
      </c>
      <c r="J54" t="n">
        <v>2.266156629272637</v>
      </c>
      <c r="K54" t="n">
        <v>47.13</v>
      </c>
      <c r="L54" t="n">
        <v>50</v>
      </c>
      <c r="M54" t="n">
        <v>-0.742</v>
      </c>
      <c r="N54" t="n">
        <v>50</v>
      </c>
      <c r="O54" t="n">
        <v>22.21</v>
      </c>
      <c r="P54" t="n">
        <v>1.35</v>
      </c>
      <c r="Q54" t="n">
        <v>173.64</v>
      </c>
      <c r="R54" t="n">
        <v>84.928</v>
      </c>
      <c r="S54" t="n">
        <v>3.5</v>
      </c>
      <c r="T54" t="n">
        <v>4046.2</v>
      </c>
      <c r="U54" t="n">
        <v>-0.01</v>
      </c>
      <c r="V54" t="n">
        <v>-0.03</v>
      </c>
    </row>
    <row r="55">
      <c r="A55" t="inlineStr">
        <is>
          <t>2026-07-29 12:10:31</t>
        </is>
      </c>
      <c r="B55" t="n">
        <v>870.5</v>
      </c>
      <c r="C55" t="n">
        <v>4.88</v>
      </c>
      <c r="D55" t="n">
        <v>122.5938713264953</v>
      </c>
      <c r="E55" t="n">
        <v>2.5</v>
      </c>
      <c r="F55" t="n">
        <v>2.44</v>
      </c>
      <c r="G55" t="n">
        <v>101.3056</v>
      </c>
      <c r="H55" t="n">
        <v>-1.15</v>
      </c>
      <c r="I55" t="n">
        <v>70.13653007846555</v>
      </c>
      <c r="J55" t="n">
        <v>2.252787750141418</v>
      </c>
      <c r="K55" t="n">
        <v>43.79</v>
      </c>
      <c r="L55" t="n">
        <v>50</v>
      </c>
      <c r="M55" t="n">
        <v>-0.764</v>
      </c>
      <c r="N55" t="n">
        <v>50</v>
      </c>
      <c r="O55" t="n">
        <v>22.030001</v>
      </c>
      <c r="P55" t="n">
        <v>1.39</v>
      </c>
      <c r="Q55" t="n">
        <v>173.64</v>
      </c>
      <c r="R55" t="n">
        <v>85.20699999999999</v>
      </c>
      <c r="S55" t="n">
        <v>3.5</v>
      </c>
      <c r="T55" t="n">
        <v>4022.33</v>
      </c>
      <c r="U55" t="n">
        <v>-0.01</v>
      </c>
      <c r="V55" t="n">
        <v>-0.11</v>
      </c>
    </row>
    <row r="56">
      <c r="A56" t="inlineStr">
        <is>
          <t>2026-07-30 11:55:28</t>
        </is>
      </c>
      <c r="B56" t="n">
        <v>870.5</v>
      </c>
      <c r="C56" t="n">
        <v>4.88</v>
      </c>
      <c r="D56" t="n">
        <v>122.5938713264953</v>
      </c>
      <c r="E56" t="n">
        <v>2.5</v>
      </c>
      <c r="F56" t="n">
        <v>2.41</v>
      </c>
      <c r="G56" t="n">
        <v>100.9416</v>
      </c>
      <c r="H56" t="n">
        <v>-1.26</v>
      </c>
      <c r="J56" t="n">
        <v>2.272614240348588</v>
      </c>
      <c r="K56" t="n">
        <v>40.61</v>
      </c>
      <c r="L56" t="n">
        <v>50</v>
      </c>
      <c r="M56" t="n">
        <v>-0.8</v>
      </c>
      <c r="N56" t="n">
        <v>50</v>
      </c>
      <c r="O56" t="n">
        <v>23.42</v>
      </c>
      <c r="P56" t="n">
        <v>1.33</v>
      </c>
      <c r="Q56" t="n">
        <v>173.64</v>
      </c>
      <c r="R56" t="n">
        <v>87.252</v>
      </c>
      <c r="S56" t="n">
        <v>3.5</v>
      </c>
      <c r="T56" t="n">
        <v>4057.73</v>
      </c>
      <c r="U56" t="n">
        <v>-0.01</v>
      </c>
      <c r="V56" t="n">
        <v>0.12</v>
      </c>
    </row>
    <row r="57">
      <c r="A57" t="inlineStr">
        <is>
          <t>2026-08-03 12:28:18</t>
        </is>
      </c>
      <c r="B57" t="n">
        <v>870.5</v>
      </c>
      <c r="C57" t="n">
        <v>4.88</v>
      </c>
      <c r="D57" t="n">
        <v>120.2930512227635</v>
      </c>
      <c r="E57" t="n">
        <v>2.5</v>
      </c>
      <c r="F57" t="n">
        <v>2.41</v>
      </c>
      <c r="G57" t="n">
        <v>99.7206</v>
      </c>
      <c r="H57" t="n">
        <v>-0.63</v>
      </c>
      <c r="I57" t="n">
        <v>69.7073337902673</v>
      </c>
      <c r="J57" t="n">
        <v>2.278433371231427</v>
      </c>
      <c r="K57" t="n">
        <v>52.14</v>
      </c>
      <c r="L57" t="n">
        <v>50</v>
      </c>
      <c r="M57" t="n">
        <v>-0.636</v>
      </c>
      <c r="N57" t="n">
        <v>50</v>
      </c>
      <c r="O57" t="n">
        <v>21.25</v>
      </c>
      <c r="P57" t="n">
        <v>1.25</v>
      </c>
      <c r="Q57" t="n">
        <v>173.64</v>
      </c>
      <c r="R57" t="n">
        <v>83.494</v>
      </c>
      <c r="S57" t="n">
        <v>3.5</v>
      </c>
      <c r="T57" t="n">
        <v>4068.12</v>
      </c>
      <c r="U57" t="n">
        <v>-0.01</v>
      </c>
      <c r="V57" t="n">
        <v>-0.06</v>
      </c>
    </row>
    <row r="58">
      <c r="A58" t="inlineStr">
        <is>
          <t>2026-08-04 12:12:13</t>
        </is>
      </c>
      <c r="B58" t="n">
        <v>870.5</v>
      </c>
      <c r="C58" t="n">
        <v>4.88</v>
      </c>
      <c r="D58" t="n">
        <v>120.2930512227635</v>
      </c>
      <c r="E58" t="n">
        <v>2.5</v>
      </c>
      <c r="F58" t="n">
        <v>2.47</v>
      </c>
      <c r="G58" t="n">
        <v>100.0225</v>
      </c>
      <c r="H58" t="n">
        <v>-0.12</v>
      </c>
      <c r="I58" t="n">
        <v>69.05825242718446</v>
      </c>
      <c r="J58" t="n">
        <v>2.270754806803735</v>
      </c>
      <c r="K58" t="n">
        <v>32.89</v>
      </c>
      <c r="L58" t="n">
        <v>50</v>
      </c>
      <c r="M58" t="n">
        <v>-0.544</v>
      </c>
      <c r="N58" t="n">
        <v>50</v>
      </c>
      <c r="O58" t="n">
        <v>21.08</v>
      </c>
      <c r="P58" t="n">
        <v>1.49</v>
      </c>
      <c r="Q58" t="n">
        <v>152.67</v>
      </c>
      <c r="R58" t="n">
        <v>85.014</v>
      </c>
      <c r="S58" t="n">
        <v>3.5</v>
      </c>
      <c r="T58" t="n">
        <v>4054.41</v>
      </c>
      <c r="U58" t="n">
        <v>-0.01</v>
      </c>
      <c r="V58" t="n">
        <v>0.06</v>
      </c>
    </row>
    <row r="59">
      <c r="A59" t="inlineStr">
        <is>
          <t>2026-08-05 11:59:11</t>
        </is>
      </c>
      <c r="B59" t="n">
        <v>870.5</v>
      </c>
      <c r="C59" t="n">
        <v>4.88</v>
      </c>
      <c r="D59" t="n">
        <v>120.2930512227635</v>
      </c>
      <c r="E59" t="n">
        <v>2.5</v>
      </c>
      <c r="F59" t="n">
        <v>2.43</v>
      </c>
      <c r="G59" t="n">
        <v>99.8009</v>
      </c>
      <c r="H59" t="n">
        <v>0.42</v>
      </c>
      <c r="I59" t="n">
        <v>67.97612775765558</v>
      </c>
      <c r="J59" t="n">
        <v>2.312457644680172</v>
      </c>
      <c r="K59" t="n">
        <v>42.4</v>
      </c>
      <c r="L59" t="n">
        <v>50</v>
      </c>
      <c r="M59" t="n">
        <v>-0.494</v>
      </c>
      <c r="N59" t="n">
        <v>50</v>
      </c>
      <c r="O59" t="n">
        <v>21.27</v>
      </c>
      <c r="P59" t="n">
        <v>1.56</v>
      </c>
      <c r="Q59" t="n">
        <v>152.67</v>
      </c>
      <c r="R59" t="n">
        <v>78.33199999999999</v>
      </c>
      <c r="S59" t="n">
        <v>3.5</v>
      </c>
      <c r="T59" t="n">
        <v>4128.87</v>
      </c>
      <c r="U59" t="n">
        <v>-0.01</v>
      </c>
      <c r="V59" t="n">
        <v>-0.06</v>
      </c>
    </row>
    <row r="60">
      <c r="A60" t="inlineStr">
        <is>
          <t>2026-08-06 12:10:40</t>
        </is>
      </c>
      <c r="B60" t="n">
        <v>870.5</v>
      </c>
      <c r="C60" t="n">
        <v>4.88</v>
      </c>
      <c r="D60" t="n">
        <v>120.2930512227635</v>
      </c>
      <c r="E60" t="n">
        <v>2.5</v>
      </c>
      <c r="F60" t="n">
        <v>2.4</v>
      </c>
      <c r="G60" t="n">
        <v>99.72280000000001</v>
      </c>
      <c r="H60" t="n">
        <v>0.87</v>
      </c>
      <c r="I60" t="n">
        <v>68.63256113256114</v>
      </c>
      <c r="J60" t="n">
        <v>2.389372105136405</v>
      </c>
      <c r="K60" t="n">
        <v>42.35</v>
      </c>
      <c r="L60" t="n">
        <v>50</v>
      </c>
      <c r="M60" t="n">
        <v>-0.482</v>
      </c>
      <c r="N60" t="n">
        <v>50</v>
      </c>
      <c r="O60" t="n">
        <v>20.51</v>
      </c>
      <c r="P60" t="n">
        <v>1.56</v>
      </c>
      <c r="Q60" t="n">
        <v>152.67</v>
      </c>
      <c r="R60" t="n">
        <v>79.17400000000001</v>
      </c>
      <c r="S60" t="n">
        <v>3.5</v>
      </c>
      <c r="T60" t="n">
        <v>4266.2</v>
      </c>
      <c r="U60" t="n">
        <v>-0.01</v>
      </c>
      <c r="V60" t="n">
        <v>0.03</v>
      </c>
    </row>
    <row r="61">
      <c r="A61" t="inlineStr">
        <is>
          <t>2026-08-07 11:48:34</t>
        </is>
      </c>
      <c r="B61" t="n">
        <v>870.5</v>
      </c>
      <c r="C61" t="n">
        <v>4.88</v>
      </c>
      <c r="D61" t="n">
        <v>120.2930512227635</v>
      </c>
      <c r="E61" t="n">
        <v>2.5</v>
      </c>
      <c r="F61" t="n">
        <v>2.41</v>
      </c>
      <c r="G61" t="n">
        <v>99.9652</v>
      </c>
      <c r="H61" t="n">
        <v>1.33</v>
      </c>
      <c r="I61" t="n">
        <v>68.42611628654032</v>
      </c>
      <c r="J61" t="n">
        <v>2.386017283770842</v>
      </c>
      <c r="K61" t="n">
        <v>44.33</v>
      </c>
      <c r="L61" t="n">
        <v>50</v>
      </c>
      <c r="M61" t="n">
        <v>-0.462</v>
      </c>
      <c r="N61" t="n">
        <v>50</v>
      </c>
      <c r="O61" t="n">
        <v>20.23</v>
      </c>
      <c r="P61" t="n">
        <v>1.5</v>
      </c>
      <c r="Q61" t="n">
        <v>152.67</v>
      </c>
      <c r="R61" t="n">
        <v>83.402</v>
      </c>
      <c r="S61" t="n">
        <v>3.5</v>
      </c>
      <c r="T61" t="n">
        <v>4260.21</v>
      </c>
      <c r="U61" t="n">
        <v>-0.01</v>
      </c>
      <c r="V61" t="n">
        <v>0.02</v>
      </c>
    </row>
    <row r="62">
      <c r="A62" t="inlineStr">
        <is>
          <t>2026-08-08 10:53:15</t>
        </is>
      </c>
      <c r="B62" t="n">
        <v>870.5</v>
      </c>
      <c r="C62" t="n">
        <v>4.88</v>
      </c>
      <c r="D62" t="n">
        <v>120.2930512227635</v>
      </c>
      <c r="E62" t="n">
        <v>2.5</v>
      </c>
      <c r="F62" t="n">
        <v>2.43</v>
      </c>
      <c r="G62" t="n">
        <v>99.5996</v>
      </c>
      <c r="H62" t="n">
        <v>1.47</v>
      </c>
      <c r="I62" t="n">
        <v>68.34256926952141</v>
      </c>
      <c r="J62" t="n">
        <v>2.431332575371467</v>
      </c>
      <c r="K62" t="n">
        <v>45.9</v>
      </c>
      <c r="L62" t="n">
        <v>50</v>
      </c>
      <c r="M62" t="n">
        <v>-0.38</v>
      </c>
      <c r="N62" t="n">
        <v>50</v>
      </c>
      <c r="O62" t="n">
        <v>20.32</v>
      </c>
      <c r="P62" t="n">
        <v>1.54</v>
      </c>
      <c r="Q62" t="n">
        <v>152.67</v>
      </c>
      <c r="R62" t="n">
        <v>82.301</v>
      </c>
      <c r="S62" t="n">
        <v>3.5</v>
      </c>
      <c r="T62" t="n">
        <v>4341.12</v>
      </c>
      <c r="U62" t="n">
        <v>-0.01</v>
      </c>
      <c r="V62" t="n">
        <v>-0.34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C5" sqref="C5"/>
    </sheetView>
  </sheetViews>
  <sheetFormatPr baseColWidth="8" defaultRowHeight="13.5"/>
  <cols>
    <col width="18" customWidth="1" min="1" max="6"/>
  </cols>
  <sheetData>
    <row r="1">
      <c r="A1" t="inlineStr">
        <is>
          <t>引用数据收集表最新一行 (最后一行有数据的行)</t>
        </is>
      </c>
    </row>
    <row r="2">
      <c r="A2" t="inlineStr">
        <is>
          <t>当前引用行: =MAX(IF(数据收集总表!A3:A22&lt;&gt;"",ROW(数据收集总表!A3:A22)))</t>
        </is>
      </c>
    </row>
    <row r="4" ht="15" customHeight="1">
      <c r="A4" s="1" t="inlineStr">
        <is>
          <t>因子</t>
        </is>
      </c>
      <c r="B4" s="1" t="inlineStr">
        <is>
          <t>权重</t>
        </is>
      </c>
      <c r="C4" s="1" t="inlineStr">
        <is>
          <t>当前值</t>
        </is>
      </c>
      <c r="D4" s="1" t="inlineStr">
        <is>
          <t>编码(+1/0/-1)</t>
        </is>
      </c>
      <c r="E4" s="1" t="inlineStr">
        <is>
          <t>得分贡献</t>
        </is>
      </c>
      <c r="F4" s="1" t="inlineStr">
        <is>
          <t>阈值说明</t>
        </is>
      </c>
    </row>
    <row r="5" ht="30" customHeight="1">
      <c r="A5" s="10" t="inlineStr">
        <is>
          <t>央行购金(吨)</t>
        </is>
      </c>
      <c r="B5" s="10" t="inlineStr">
        <is>
          <t>30%</t>
        </is>
      </c>
      <c r="C5" s="10">
        <f>LOOKUP(2,1/(数据收集总表!B3:B31&lt;&gt;""),数据收集总表!B3:B31)</f>
        <v/>
      </c>
      <c r="D5" s="10">
        <f>IF(C5&gt;900,1,IF(C5&gt;=600,0,-1))</f>
        <v/>
      </c>
      <c r="E5" s="10">
        <f>D5*VALUE(SUBSTITUTE(B5,"%",""))/100</f>
        <v/>
      </c>
      <c r="F5" s="10" t="inlineStr">
        <is>
          <t>&gt;900=+1, 600-900=0, &lt;600=-1</t>
        </is>
      </c>
    </row>
    <row r="6" ht="30" customHeight="1">
      <c r="A6" s="10" t="inlineStr">
        <is>
          <t>M2同比增速(%)</t>
        </is>
      </c>
      <c r="B6" s="10" t="inlineStr">
        <is>
          <t>25%</t>
        </is>
      </c>
      <c r="C6" s="10">
        <f>LOOKUP(2,1/(数据收集总表!C3:C31&lt;&gt;""),数据收集总表!C3:C31)</f>
        <v/>
      </c>
      <c r="D6" s="10">
        <f>IF(C6&gt;6,1,IF(C6&gt;=0,0,-1))</f>
        <v/>
      </c>
      <c r="E6" s="10">
        <f>D6*VALUE(SUBSTITUTE(B6,"%",""))/100</f>
        <v/>
      </c>
      <c r="F6" s="10" t="inlineStr">
        <is>
          <t>&gt;6%=+1, 0%-6%=0, &lt;0%=-1</t>
        </is>
      </c>
    </row>
    <row r="7" ht="30" customHeight="1">
      <c r="A7" s="10" t="inlineStr">
        <is>
          <t>美债/GDP比率(%)</t>
        </is>
      </c>
      <c r="B7" s="10" t="inlineStr">
        <is>
          <t>15%</t>
        </is>
      </c>
      <c r="C7" s="10">
        <f>LOOKUP(2,1/(数据收集总表!D3:D31&lt;&gt;""),数据收集总表!D3:D31)</f>
        <v/>
      </c>
      <c r="D7" s="10">
        <f>IF(C7&gt;120,1,IF(C7&gt;=100,0,-1))</f>
        <v/>
      </c>
      <c r="E7" s="10">
        <f>D7*VALUE(SUBSTITUTE(B7,"%",""))/100</f>
        <v/>
      </c>
      <c r="F7" s="10" t="inlineStr">
        <is>
          <t>&gt;120%=+1, 100%-120%=0, &lt;100%=-1</t>
        </is>
      </c>
    </row>
    <row r="8" ht="30" customHeight="1">
      <c r="A8" s="10" t="inlineStr">
        <is>
          <t>Fed预期差(bp)</t>
        </is>
      </c>
      <c r="B8" s="10" t="inlineStr">
        <is>
          <t>15%</t>
        </is>
      </c>
      <c r="C8" s="10">
        <f>LOOKUP(2,1/(数据收集总表!E3:E31&lt;&gt;""),数据收集总表!E3:E31)</f>
        <v/>
      </c>
      <c r="D8" s="10">
        <f>IF(C8&gt;50,1,IF(C8&lt;-50,-1,0))</f>
        <v/>
      </c>
      <c r="E8" s="10">
        <f>D8*VALUE(SUBSTITUTE(B8,"%",""))/100</f>
        <v/>
      </c>
      <c r="F8" s="10" t="inlineStr">
        <is>
          <t>降息&gt;50bp=+1, 中间=0, 加息=-1</t>
        </is>
      </c>
    </row>
    <row r="9" ht="45" customHeight="1">
      <c r="A9" s="10" t="inlineStr">
        <is>
          <t>10Y TIPS(%)</t>
        </is>
      </c>
      <c r="B9" s="10" t="inlineStr">
        <is>
          <t>10%</t>
        </is>
      </c>
      <c r="C9" s="10">
        <f>LOOKUP(2,1/(数据收集总表!F3:F31&lt;&gt;""),数据收集总表!F3:F31)</f>
        <v/>
      </c>
      <c r="D9" s="10">
        <f>IF(C9&lt;-0.5,1,IF(C9&lt;=1.5,0,-1))</f>
        <v/>
      </c>
      <c r="E9" s="10">
        <f>D9*VALUE(SUBSTITUTE(B9,"%",""))/100</f>
        <v/>
      </c>
      <c r="F9" s="10" t="inlineStr">
        <is>
          <t>&lt;-0.5%=+1, -0.5%~1.5%=0, &gt;1.5%=-1</t>
        </is>
      </c>
    </row>
    <row r="10" ht="30" customHeight="1">
      <c r="A10" s="10" t="inlineStr">
        <is>
          <t>DXY</t>
        </is>
      </c>
      <c r="B10" s="10" t="inlineStr">
        <is>
          <t>5%</t>
        </is>
      </c>
      <c r="C10" s="10">
        <f>LOOKUP(2,1/(数据收集总表!G3:G31&lt;&gt;""),数据收集总表!G3:G31)</f>
        <v/>
      </c>
      <c r="D10" s="10">
        <f>IF(C10&lt;95,1,IF(C10&lt;=105,0,-1))</f>
        <v/>
      </c>
      <c r="E10" s="10">
        <f>D10*VALUE(SUBSTITUTE(B10,"%",""))/100</f>
        <v/>
      </c>
      <c r="F10" s="10" t="inlineStr">
        <is>
          <t>&lt;95=+1, 95-105=0, &gt;105=-1</t>
        </is>
      </c>
    </row>
    <row r="11" ht="15" customHeight="1">
      <c r="A11" s="11" t="inlineStr">
        <is>
          <t>S_macro 合计</t>
        </is>
      </c>
      <c r="B11" s="10" t="inlineStr">
        <is>
          <t>100%</t>
        </is>
      </c>
      <c r="C11" s="10" t="n"/>
      <c r="D11" s="10" t="n"/>
      <c r="E11" s="10">
        <f>SUM(E5:E10)</f>
        <v/>
      </c>
      <c r="F11" s="10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ETF持仓4周变化(%)</t>
        </is>
      </c>
      <c r="B2" s="10" t="inlineStr">
        <is>
          <t>40%</t>
        </is>
      </c>
      <c r="C2" s="10">
        <f>LOOKUP(2,1/(数据收集总表!H3:H31&lt;&gt;""),数据收集总表!H3:H31)</f>
        <v/>
      </c>
      <c r="D2" s="10">
        <f>IF(C2&gt;=2,100,IF(C2&lt;=-2,0,(C2+2)*25))</f>
        <v/>
      </c>
      <c r="E2" s="10">
        <f>D2*VALUE(SUBSTITUTE(B2,"%",""))/100</f>
        <v/>
      </c>
      <c r="F2" s="10" t="inlineStr">
        <is>
          <t>≥+2%=100, ≤-2%=0, 线性插值</t>
        </is>
      </c>
    </row>
    <row r="3" ht="30" customHeight="1">
      <c r="A3" s="10" t="inlineStr">
        <is>
          <t>金银比</t>
        </is>
      </c>
      <c r="B3" s="10" t="inlineStr">
        <is>
          <t>35%</t>
        </is>
      </c>
      <c r="C3" s="10">
        <f>LOOKUP(2,1/(数据收集总表!I3:I31&lt;&gt;""),数据收集总表!I3:I31)</f>
        <v/>
      </c>
      <c r="D3" s="10">
        <f>IF(C3&lt;=60,100,IF(C3&gt;=100,0,(100-C3)*2.5))</f>
        <v/>
      </c>
      <c r="E3" s="10">
        <f>D3*VALUE(SUBSTITUTE(B3,"%",""))/100</f>
        <v/>
      </c>
      <c r="F3" s="10" t="inlineStr">
        <is>
          <t>≤60=100, ≥100=0, 线性插值</t>
        </is>
      </c>
    </row>
    <row r="4" ht="30" customHeight="1">
      <c r="A4" s="10" t="inlineStr">
        <is>
          <t>金价/AISC</t>
        </is>
      </c>
      <c r="B4" s="10" t="inlineStr">
        <is>
          <t>25%</t>
        </is>
      </c>
      <c r="C4" s="10">
        <f>LOOKUP(2,1/(数据收集总表!J3:J31&lt;&gt;""),数据收集总表!J3:J31)</f>
        <v/>
      </c>
      <c r="D4" s="10">
        <f>IF(C4&lt;=1.5,100,IF(C4&gt;=2.5,0,(2.5-C4)*100))</f>
        <v/>
      </c>
      <c r="E4" s="10">
        <f>D4*VALUE(SUBSTITUTE(B4,"%",""))/100</f>
        <v/>
      </c>
      <c r="F4" s="10" t="inlineStr">
        <is>
          <t>≤1.5=100, ≥2.5=0, 线性插值</t>
        </is>
      </c>
    </row>
    <row r="5" ht="15" customHeight="1">
      <c r="A5" s="11" t="inlineStr">
        <is>
          <t>验证层总分 V</t>
        </is>
      </c>
      <c r="B5" s="10" t="n"/>
      <c r="C5" s="10" t="n"/>
      <c r="D5" s="10">
        <f>SUM(E2:E4)</f>
        <v/>
      </c>
      <c r="E5" s="10" t="n"/>
      <c r="F5" s="10" t="n"/>
    </row>
    <row r="6" ht="15" customHeight="1">
      <c r="A6" s="11" t="inlineStr">
        <is>
          <t>K_verif</t>
        </is>
      </c>
      <c r="B6" s="10" t="n"/>
      <c r="C6" s="10" t="n"/>
      <c r="D6" s="10">
        <f>D5/100+0.5</f>
        <v/>
      </c>
      <c r="E6" s="10" t="n"/>
      <c r="F6" s="1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RSI14</t>
        </is>
      </c>
      <c r="B2" s="10" t="inlineStr">
        <is>
          <t>30%</t>
        </is>
      </c>
      <c r="C2" s="10">
        <f>LOOKUP(2,1/(数据收集总表!K3:K31&lt;&gt;""),数据收集总表!K3:K31)</f>
        <v/>
      </c>
      <c r="D2" s="10">
        <f>IF(C2&lt;=30,100,IF(C2&gt;=70,0,(70-C2)*2.5))</f>
        <v/>
      </c>
      <c r="E2" s="10">
        <f>D2*VALUE(SUBSTITUTE(B2,"%",""))/100</f>
        <v/>
      </c>
      <c r="F2" s="10" t="inlineStr">
        <is>
          <t>≤30=100, 30-70递减, ≥70=0</t>
        </is>
      </c>
    </row>
    <row r="3" ht="30" customHeight="1">
      <c r="A3" s="10" t="inlineStr">
        <is>
          <t>MACD背离</t>
        </is>
      </c>
      <c r="B3" s="10" t="inlineStr">
        <is>
          <t>25%</t>
        </is>
      </c>
      <c r="C3" s="10">
        <f>LOOKUP(2,1/(数据收集总表!L3:L31&lt;&gt;""),数据收集总表!L3:L31)</f>
        <v/>
      </c>
      <c r="D3" s="10">
        <f>C3</f>
        <v/>
      </c>
      <c r="E3" s="10">
        <f>D3*VALUE(SUBSTITUTE(B3,"%",""))/100</f>
        <v/>
      </c>
      <c r="F3" s="10" t="inlineStr">
        <is>
          <t>底背离=100, 无=50, 顶背离=0</t>
        </is>
      </c>
    </row>
    <row r="4" ht="30" customHeight="1">
      <c r="A4" s="10" t="inlineStr">
        <is>
          <t>20日均线斜率(%)</t>
        </is>
      </c>
      <c r="B4" s="10" t="inlineStr">
        <is>
          <t>25%</t>
        </is>
      </c>
      <c r="C4" s="10">
        <f>LOOKUP(2,1/(数据收集总表!M3:M31&lt;&gt;""),数据收集总表!M3:M31)</f>
        <v/>
      </c>
      <c r="D4" s="10">
        <f>IF(C4&gt;=0.5,100,IF(C4&lt;=-0.5,0,(C4+0.5)*100))</f>
        <v/>
      </c>
      <c r="E4" s="10">
        <f>D4*VALUE(SUBSTITUTE(B4,"%",""))/100</f>
        <v/>
      </c>
      <c r="F4" s="10" t="inlineStr">
        <is>
          <t>≥+0.5%=100, ≤-0.5%=0, 线性插值</t>
        </is>
      </c>
    </row>
    <row r="5" ht="45" customHeight="1">
      <c r="A5" s="10" t="inlineStr">
        <is>
          <t>布林带状态</t>
        </is>
      </c>
      <c r="B5" s="10" t="inlineStr">
        <is>
          <t>20%</t>
        </is>
      </c>
      <c r="C5" s="10">
        <f>LOOKUP(2,1/(数据收集总表!N3:N31&lt;&gt;""),数据收集总表!N3:N31)</f>
        <v/>
      </c>
      <c r="D5" s="10">
        <f>C5</f>
        <v/>
      </c>
      <c r="E5" s="10">
        <f>D5*VALUE(SUBSTITUTE(B5,"%",""))/100</f>
        <v/>
      </c>
      <c r="F5" s="10" t="inlineStr">
        <is>
          <t>触下轨扩口=100, 触上轨扩口=0, 其他=50</t>
        </is>
      </c>
    </row>
    <row r="6" ht="15" customHeight="1">
      <c r="A6" s="11" t="inlineStr">
        <is>
          <t>趋势层总分 T</t>
        </is>
      </c>
      <c r="B6" s="10" t="n"/>
      <c r="C6" s="10" t="n"/>
      <c r="D6" s="10">
        <f>SUM(E2:E5)</f>
        <v/>
      </c>
      <c r="E6" s="10" t="n"/>
      <c r="F6" s="10" t="n"/>
    </row>
    <row r="7" ht="15" customHeight="1">
      <c r="A7" s="11" t="inlineStr">
        <is>
          <t>K_trend</t>
        </is>
      </c>
      <c r="B7" s="10" t="n"/>
      <c r="C7" s="10" t="n"/>
      <c r="D7" s="10">
        <f>1+(D6/100-0.5)*0.4</f>
        <v/>
      </c>
      <c r="E7" s="10" t="n"/>
      <c r="F7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2"/>
  <sheetViews>
    <sheetView tabSelected="1" workbookViewId="0">
      <selection activeCell="L7" sqref="L7"/>
    </sheetView>
  </sheetViews>
  <sheetFormatPr baseColWidth="8" defaultRowHeight="13.5"/>
  <cols>
    <col width="20" customWidth="1" min="1" max="5"/>
  </cols>
  <sheetData>
    <row r="1" ht="15.75" customHeight="1">
      <c r="A1" s="12" t="inlineStr">
        <is>
          <t>K_liquidity 计算</t>
        </is>
      </c>
    </row>
    <row r="3">
      <c r="A3" s="13" t="inlineStr">
        <is>
          <t>当前VIX</t>
        </is>
      </c>
      <c r="B3" s="14">
        <f>LOOKUP(2,1/(数据收集总表!O3:O31&lt;&gt;""),数据收集总表!O3:O31)</f>
        <v/>
      </c>
    </row>
    <row r="4">
      <c r="A4" s="13" t="inlineStr">
        <is>
          <t>当前信用利差(%)</t>
        </is>
      </c>
      <c r="B4" s="14">
        <f>LOOKUP(2,1/(数据收集总表!P3:P31&lt;&gt;""),数据收集总表!P3:P31)</f>
        <v/>
      </c>
    </row>
    <row r="5">
      <c r="A5" s="13" t="inlineStr">
        <is>
          <t>K_liquidity</t>
        </is>
      </c>
      <c r="B5" s="14">
        <f>IF(B3&gt;=35,0.5,IF(B3&gt;=25,IF(B4&gt;=3,0.7,0.8),IF(B3&gt;=15,IF(B4&gt;=3,0.9,1),IF(B4&gt;=3,1,1.2))))</f>
        <v/>
      </c>
    </row>
    <row r="8" ht="15.75" customHeight="1">
      <c r="A8" s="12" t="inlineStr">
        <is>
          <t>K_geo 计算</t>
        </is>
      </c>
    </row>
    <row r="10">
      <c r="A10" s="13" t="inlineStr">
        <is>
          <t>当前GPR</t>
        </is>
      </c>
      <c r="B10" s="13">
        <f>LOOKUP(2,1/(数据收集总表!Q3:Q31&lt;&gt;""),数据收集总表!Q3:Q31)</f>
        <v/>
      </c>
      <c r="C10" t="n">
        <v>120</v>
      </c>
      <c r="D10" t="n">
        <v>100</v>
      </c>
    </row>
    <row r="11">
      <c r="A11" s="13" t="inlineStr">
        <is>
          <t>当前布油($)</t>
        </is>
      </c>
      <c r="B11" s="13">
        <f>LOOKUP(2,1/(数据收集总表!R3:R31&lt;&gt;""),数据收集总表!R3:R31)</f>
        <v/>
      </c>
      <c r="C11" t="n">
        <v>120</v>
      </c>
      <c r="D11" t="n">
        <v>100</v>
      </c>
    </row>
    <row r="12">
      <c r="A12" s="13" t="inlineStr">
        <is>
          <t>当前CPI(%)</t>
        </is>
      </c>
      <c r="B12" s="13">
        <f>LOOKUP(2,1/(数据收集总表!S3:S31&lt;&gt;""),数据收集总表!S3:S31)</f>
        <v/>
      </c>
    </row>
    <row r="13">
      <c r="A13" s="13" t="inlineStr">
        <is>
          <t>Fed编码</t>
        </is>
      </c>
      <c r="B13" s="13">
        <f>宏观信号计算表!D8</f>
        <v/>
      </c>
    </row>
    <row r="14">
      <c r="A14" s="13" t="n"/>
      <c r="B14" s="13" t="n"/>
    </row>
    <row r="15">
      <c r="A15" s="13" t="inlineStr">
        <is>
          <t>K_geo</t>
        </is>
      </c>
      <c r="B15" s="14">
        <f>IF(B10&gt;C10,IF(B11&gt;C11,IF(B12&gt;4,1.2,IF(B13=-1,0.95,1.1)),IF(B11&gt;D11,IF(B13=-1,0.95,1.1),1.1)),IF(B10&gt;D10,IF(B11&gt;C11,IF(B12&gt;4,1,IF(B13=-1,0.98,1.05)),IF(B11&gt;D11,IF(B13=-1,0.98,1.05),1.05)),1))</f>
        <v/>
      </c>
    </row>
    <row r="18">
      <c r="A18" t="inlineStr">
        <is>
          <t>K_geo 查表矩阵 (参考)</t>
        </is>
      </c>
    </row>
    <row r="19" ht="30" customHeight="1">
      <c r="A19" s="1" t="inlineStr">
        <is>
          <t>GPR连续3月</t>
        </is>
      </c>
      <c r="B19" s="1" t="inlineStr">
        <is>
          <t>布油&gt;$120+CPI&gt;4%</t>
        </is>
      </c>
      <c r="C19" s="1" t="inlineStr">
        <is>
          <t>布油$100-120+Fed=-1</t>
        </is>
      </c>
      <c r="D19" s="1" t="inlineStr">
        <is>
          <t>布油$100-120+Fed=0/+1</t>
        </is>
      </c>
      <c r="E19" s="1" t="inlineStr">
        <is>
          <t>布油&lt;$100</t>
        </is>
      </c>
    </row>
    <row r="20">
      <c r="A20" s="10" t="inlineStr">
        <is>
          <t>&gt;120</t>
        </is>
      </c>
      <c r="B20" s="10" t="inlineStr">
        <is>
          <t>1.20</t>
        </is>
      </c>
      <c r="C20" s="10" t="inlineStr">
        <is>
          <t>0.95</t>
        </is>
      </c>
      <c r="D20" s="10" t="inlineStr">
        <is>
          <t>1.10</t>
        </is>
      </c>
      <c r="E20" s="10" t="inlineStr">
        <is>
          <t>1.10</t>
        </is>
      </c>
    </row>
    <row r="21">
      <c r="A21" s="10" t="inlineStr">
        <is>
          <t>100-120</t>
        </is>
      </c>
      <c r="B21" s="10" t="inlineStr">
        <is>
          <t>—</t>
        </is>
      </c>
      <c r="C21" s="10" t="inlineStr">
        <is>
          <t>0.98</t>
        </is>
      </c>
      <c r="D21" s="10" t="inlineStr">
        <is>
          <t>1.05</t>
        </is>
      </c>
      <c r="E21" s="10" t="inlineStr">
        <is>
          <t>1.05</t>
        </is>
      </c>
    </row>
    <row r="22">
      <c r="A22" s="10" t="inlineStr">
        <is>
          <t>≤100</t>
        </is>
      </c>
      <c r="B22" s="10" t="inlineStr">
        <is>
          <t>1.00</t>
        </is>
      </c>
      <c r="C22" s="10" t="inlineStr">
        <is>
          <t>1.00</t>
        </is>
      </c>
      <c r="D22" s="10" t="inlineStr">
        <is>
          <t>1.00</t>
        </is>
      </c>
      <c r="E22" s="10" t="inlineStr">
        <is>
          <t>1.00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B23" sqref="B23"/>
    </sheetView>
  </sheetViews>
  <sheetFormatPr baseColWidth="8" defaultRowHeight="13.5"/>
  <cols>
    <col width="18" customWidth="1" min="1" max="4"/>
  </cols>
  <sheetData>
    <row r="1" ht="15.75" customHeight="1">
      <c r="A1" s="12" t="inlineStr">
        <is>
          <t>最终信号生成</t>
        </is>
      </c>
    </row>
    <row r="3" ht="15" customHeight="1">
      <c r="A3" s="1" t="inlineStr">
        <is>
          <t>计算步骤</t>
        </is>
      </c>
      <c r="B3" s="1" t="inlineStr">
        <is>
          <t>因子</t>
        </is>
      </c>
      <c r="C3" s="1" t="inlineStr">
        <is>
          <t>数值</t>
        </is>
      </c>
      <c r="D3" s="1" t="inlineStr">
        <is>
          <t>公式说明</t>
        </is>
      </c>
    </row>
    <row r="4">
      <c r="A4" s="10" t="inlineStr">
        <is>
          <t>第1步</t>
        </is>
      </c>
      <c r="B4" s="10" t="inlineStr">
        <is>
          <t>S_macro</t>
        </is>
      </c>
      <c r="C4" s="10">
        <f>宏观信号计算表!E11</f>
        <v/>
      </c>
      <c r="D4" s="10" t="inlineStr">
        <is>
          <t>宏观驱动信号</t>
        </is>
      </c>
    </row>
    <row r="5">
      <c r="A5" s="10" t="inlineStr">
        <is>
          <t>第2步</t>
        </is>
      </c>
      <c r="B5" s="10" t="inlineStr">
        <is>
          <t>K_verif</t>
        </is>
      </c>
      <c r="C5" s="10">
        <f>验证层计算表!D6</f>
        <v/>
      </c>
      <c r="D5" s="10" t="inlineStr">
        <is>
          <t>市场验证乘数</t>
        </is>
      </c>
    </row>
    <row r="6">
      <c r="A6" s="10" t="inlineStr">
        <is>
          <t>第3步</t>
        </is>
      </c>
      <c r="B6" s="10" t="inlineStr">
        <is>
          <t>K_trend</t>
        </is>
      </c>
      <c r="C6" s="10">
        <f>趋势层计算表!D7</f>
        <v/>
      </c>
      <c r="D6" s="10" t="inlineStr">
        <is>
          <t>趋势动量乘数</t>
        </is>
      </c>
    </row>
    <row r="7">
      <c r="A7" s="10" t="inlineStr">
        <is>
          <t>第4步</t>
        </is>
      </c>
      <c r="B7" s="10" t="inlineStr">
        <is>
          <t>K_liquidity</t>
        </is>
      </c>
      <c r="C7" s="10">
        <f>流动性地缘乘数表!B5</f>
        <v/>
      </c>
      <c r="D7" s="10" t="inlineStr">
        <is>
          <t>流动性乘数</t>
        </is>
      </c>
    </row>
    <row r="8">
      <c r="A8" s="10" t="inlineStr">
        <is>
          <t>第5步</t>
        </is>
      </c>
      <c r="B8" s="10" t="inlineStr">
        <is>
          <t>K_geo</t>
        </is>
      </c>
      <c r="C8" s="10">
        <f>流动性地缘乘数表!B15</f>
        <v/>
      </c>
      <c r="D8" s="10" t="inlineStr">
        <is>
          <t>地缘乘数</t>
        </is>
      </c>
    </row>
    <row r="9">
      <c r="A9" s="10" t="inlineStr">
        <is>
          <t>第6步</t>
        </is>
      </c>
      <c r="B9" s="10" t="inlineStr">
        <is>
          <t>原始信号</t>
        </is>
      </c>
      <c r="C9" s="25">
        <f>C4*C5*C6*C7*C8</f>
        <v/>
      </c>
      <c r="D9" s="10" t="inlineStr">
        <is>
          <t>五项相乘</t>
        </is>
      </c>
    </row>
    <row r="10">
      <c r="A10" s="10" t="inlineStr">
        <is>
          <t>第7步</t>
        </is>
      </c>
      <c r="B10" s="10" t="inlineStr">
        <is>
          <t>强制规则检查</t>
        </is>
      </c>
      <c r="C10" s="10">
        <f>IF(强制规则检查表!E2&lt;&gt;"","触发",IF(强制规则检查表!E3&lt;&gt;"","触发",IF(强制规则检查表!E4&lt;&gt;"","触发",IF(强制规则检查表!E5&lt;&gt;"","触发","未触发"))))</f>
        <v/>
      </c>
      <c r="D10" s="10" t="inlineStr">
        <is>
          <t>见工作表7</t>
        </is>
      </c>
    </row>
    <row r="11">
      <c r="A11" s="10" t="inlineStr">
        <is>
          <t>第8步</t>
        </is>
      </c>
      <c r="B11" s="10" t="inlineStr">
        <is>
          <t>最终信号</t>
        </is>
      </c>
      <c r="C11" s="25">
        <f>IF(强制规则检查表!E2&lt;&gt;"",强制规则检查表!D2,IF(强制规则检查表!E3&lt;&gt;"",强制规则检查表!D3,IF(强制规则检查表!E4&lt;&gt;"",强制规则检查表!D4,IF(强制规则检查表!E5&lt;&gt;"",强制规则检查表!D5,C9))))</f>
        <v/>
      </c>
      <c r="D11" s="10" t="inlineStr">
        <is>
          <t>强制规则覆盖</t>
        </is>
      </c>
    </row>
    <row r="14" ht="15" customHeight="1">
      <c r="A14" s="1" t="inlineStr">
        <is>
          <t>信号等级</t>
        </is>
      </c>
      <c r="B14" s="1" t="inlineStr">
        <is>
          <t>仓位建议</t>
        </is>
      </c>
      <c r="C14" s="1" t="inlineStr">
        <is>
          <t>信号范围</t>
        </is>
      </c>
    </row>
    <row r="15">
      <c r="A15" s="10" t="inlineStr">
        <is>
          <t>🔥 强力看多</t>
        </is>
      </c>
      <c r="B15" s="10" t="inlineStr">
        <is>
          <t>16%-20%</t>
        </is>
      </c>
      <c r="C15" s="10" t="inlineStr">
        <is>
          <t>≥+0.60</t>
        </is>
      </c>
    </row>
    <row r="16">
      <c r="A16" s="10" t="inlineStr">
        <is>
          <t>✅ 看多</t>
        </is>
      </c>
      <c r="B16" s="10" t="inlineStr">
        <is>
          <t>9%-16%</t>
        </is>
      </c>
      <c r="C16" s="10" t="inlineStr">
        <is>
          <t>+0.35~+0.60</t>
        </is>
      </c>
    </row>
    <row r="17">
      <c r="A17" s="10" t="inlineStr">
        <is>
          <t>🟡 偏多</t>
        </is>
      </c>
      <c r="B17" s="10" t="inlineStr">
        <is>
          <t>6%-9%</t>
        </is>
      </c>
      <c r="C17" s="10" t="inlineStr">
        <is>
          <t>+0.15~+0.35</t>
        </is>
      </c>
    </row>
    <row r="18">
      <c r="A18" s="10" t="inlineStr">
        <is>
          <t>⚪ 中性</t>
        </is>
      </c>
      <c r="B18" s="10" t="inlineStr">
        <is>
          <t>3%-6%</t>
        </is>
      </c>
      <c r="C18" s="10" t="inlineStr">
        <is>
          <t>-0.15~+0.15</t>
        </is>
      </c>
    </row>
    <row r="19">
      <c r="A19" s="10" t="inlineStr">
        <is>
          <t>🟠 偏空</t>
        </is>
      </c>
      <c r="B19" s="10" t="inlineStr">
        <is>
          <t>1%-30%</t>
        </is>
      </c>
      <c r="C19" s="10" t="inlineStr">
        <is>
          <t>-0.35~-0.15</t>
        </is>
      </c>
    </row>
    <row r="20">
      <c r="A20" s="10" t="inlineStr">
        <is>
          <t>🔴 看空</t>
        </is>
      </c>
      <c r="B20" s="10" t="inlineStr">
        <is>
          <t>0%-1%</t>
        </is>
      </c>
      <c r="C20" s="10" t="inlineStr">
        <is>
          <t>≤-0.35</t>
        </is>
      </c>
    </row>
    <row r="22" ht="15" customHeight="1">
      <c r="A22" s="15" t="inlineStr">
        <is>
          <t>当前信号等级:</t>
        </is>
      </c>
      <c r="B22">
        <f>IF(C11&gt;=0.6,"🔥 强力看多",IF(C11&gt;=0.35,"✅ 看多",IF(C11&gt;=0.15,"🟡 偏多",IF(C11&gt;=-0.15,"⚪ 中性",IF(C11&gt;=-0.35,"🟠 偏空","🔴 看空")))))</f>
        <v/>
      </c>
    </row>
    <row r="23" ht="15" customHeight="1">
      <c r="A23" s="15" t="inlineStr">
        <is>
          <t>建议仓位:</t>
        </is>
      </c>
      <c r="B23" s="20">
        <f>IF(C11&gt;=0.6,B15,IF(C11&gt;=0.35,B16,IF(C11&gt;=0.15,B17,IF(C11&gt;=-0.15,B18,IF(C11&gt;=-0.35,B19,B20)))))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G22" sqref="G22"/>
    </sheetView>
  </sheetViews>
  <sheetFormatPr baseColWidth="8" defaultRowHeight="13.5"/>
  <cols>
    <col width="22" customWidth="1" min="1" max="5"/>
  </cols>
  <sheetData>
    <row r="1" ht="15" customHeight="1">
      <c r="A1" s="1" t="inlineStr">
        <is>
          <t>规则ID</t>
        </is>
      </c>
      <c r="B1" s="1" t="inlineStr">
        <is>
          <t>触发条件</t>
        </is>
      </c>
      <c r="C1" s="1" t="inlineStr">
        <is>
          <t>判断公式</t>
        </is>
      </c>
      <c r="D1" s="1" t="inlineStr">
        <is>
          <t>强制动作</t>
        </is>
      </c>
      <c r="E1" s="1" t="inlineStr">
        <is>
          <t>是否触发</t>
        </is>
      </c>
    </row>
    <row r="2" ht="30" customHeight="1">
      <c r="A2" s="10" t="inlineStr">
        <is>
          <t>OR-03</t>
        </is>
      </c>
      <c r="B2" s="10" t="inlineStr">
        <is>
          <t>VIX≥35 且 黄金-1%美元+0.5%</t>
        </is>
      </c>
      <c r="C2" s="10">
        <f>AND(流动性地缘乘数表!B3&gt;=35,LOOKUP(2,1/(数据收集总表!U3:U31&lt;&gt;""),数据收集总表!U3:U31)&lt;=-0.01,LOOKUP(2,1/(数据收集总表!V3:V31&lt;&gt;""),数据收集总表!V3:V31)&gt;=0.005)</f>
        <v/>
      </c>
      <c r="D2" s="10" t="n">
        <v>-0.5</v>
      </c>
      <c r="E2" s="10">
        <f>IF(C2=TRUE,D2,"")</f>
        <v/>
      </c>
    </row>
    <row r="3">
      <c r="A3" s="10" t="inlineStr">
        <is>
          <t>OR-01</t>
        </is>
      </c>
      <c r="B3" s="10" t="inlineStr">
        <is>
          <t>趋势层总分&lt;20</t>
        </is>
      </c>
      <c r="C3" s="10">
        <f>趋势层计算表!D6&lt;20</f>
        <v/>
      </c>
      <c r="D3" s="10" t="n">
        <v>-0.2</v>
      </c>
      <c r="E3" s="10">
        <f>IF(C3=TRUE,D3,"")</f>
        <v/>
      </c>
    </row>
    <row r="4">
      <c r="A4" s="10" t="inlineStr">
        <is>
          <t>OR-02</t>
        </is>
      </c>
      <c r="B4" s="10" t="inlineStr">
        <is>
          <t>趋势层总分&gt;80</t>
        </is>
      </c>
      <c r="C4" s="10">
        <f>趋势层计算表!D6&gt;80</f>
        <v/>
      </c>
      <c r="D4" s="10" t="n">
        <v>0.3</v>
      </c>
      <c r="E4" s="10">
        <f>IF(C4=TRUE,D4,"")</f>
        <v/>
      </c>
    </row>
    <row r="5">
      <c r="A5" s="10" t="inlineStr">
        <is>
          <t>结构牛底线</t>
        </is>
      </c>
      <c r="B5" s="10" t="inlineStr">
        <is>
          <t>连续两季购金&gt;300吨</t>
        </is>
      </c>
      <c r="C5" s="10">
        <f>FALSE</f>
        <v/>
      </c>
      <c r="D5" s="10" t="n">
        <v>0.15</v>
      </c>
      <c r="E5" s="10">
        <f>IF(C5=TRUE,D5,"")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D35" sqref="D35"/>
    </sheetView>
  </sheetViews>
  <sheetFormatPr baseColWidth="8" defaultRowHeight="13.5"/>
  <cols>
    <col width="14" customWidth="1" min="1" max="8"/>
  </cols>
  <sheetData>
    <row r="1" ht="15" customHeight="1">
      <c r="A1" s="1" t="inlineStr">
        <is>
          <t>日期</t>
        </is>
      </c>
      <c r="B1" s="1" t="inlineStr">
        <is>
          <t>操作类型</t>
        </is>
      </c>
      <c r="C1" s="1" t="inlineStr">
        <is>
          <t>数据项</t>
        </is>
      </c>
      <c r="D1" s="1" t="inlineStr">
        <is>
          <t>原值</t>
        </is>
      </c>
      <c r="E1" s="1" t="inlineStr">
        <is>
          <t>新值</t>
        </is>
      </c>
      <c r="F1" s="1" t="inlineStr">
        <is>
          <t>信号变化前</t>
        </is>
      </c>
      <c r="G1" s="1" t="inlineStr">
        <is>
          <t>信号变化后</t>
        </is>
      </c>
      <c r="H1" s="1" t="inlineStr">
        <is>
          <t>备注</t>
        </is>
      </c>
    </row>
    <row r="2">
      <c r="A2" s="17" t="n"/>
      <c r="B2" s="17" t="n"/>
      <c r="C2" s="17" t="n"/>
      <c r="D2" s="17" t="n"/>
      <c r="E2" s="17" t="n"/>
      <c r="F2" s="13" t="n"/>
      <c r="G2" s="13" t="n"/>
      <c r="H2" s="13" t="n"/>
    </row>
    <row r="3">
      <c r="A3" s="13" t="n"/>
      <c r="B3" s="13" t="n"/>
      <c r="C3" s="13" t="n"/>
      <c r="D3" s="13" t="n"/>
      <c r="E3" s="13" t="n"/>
      <c r="F3" s="13" t="n"/>
      <c r="G3" s="13" t="n"/>
      <c r="H3" s="13" t="n"/>
    </row>
    <row r="4">
      <c r="A4" s="21" t="n"/>
      <c r="B4" s="13" t="n"/>
      <c r="C4" s="13" t="n"/>
      <c r="D4" s="13" t="n"/>
      <c r="E4" s="13" t="n"/>
      <c r="F4" s="13" t="n"/>
      <c r="G4" s="13" t="n"/>
      <c r="H4" s="13" t="n"/>
    </row>
    <row r="5">
      <c r="A5" s="13" t="n"/>
      <c r="B5" s="13" t="n"/>
      <c r="C5" s="13" t="n"/>
      <c r="D5" s="13" t="n"/>
      <c r="E5" s="13" t="n"/>
      <c r="F5" s="13" t="n"/>
      <c r="G5" s="13" t="n"/>
      <c r="H5" s="13" t="n"/>
    </row>
    <row r="6">
      <c r="A6" s="13" t="n"/>
      <c r="B6" s="13" t="n"/>
      <c r="C6" s="13" t="n"/>
      <c r="D6" s="13" t="n"/>
      <c r="E6" s="13" t="n"/>
      <c r="F6" s="13" t="n"/>
      <c r="G6" s="13" t="n"/>
      <c r="H6" s="13" t="n"/>
    </row>
    <row r="7">
      <c r="A7" s="13" t="n"/>
      <c r="B7" s="13" t="n"/>
      <c r="C7" s="13" t="n"/>
      <c r="D7" s="13" t="n"/>
      <c r="E7" s="13" t="n"/>
      <c r="F7" s="13" t="n"/>
      <c r="G7" s="13" t="n"/>
      <c r="H7" s="13" t="n"/>
    </row>
    <row r="8">
      <c r="A8" s="13" t="n"/>
      <c r="B8" s="13" t="n"/>
      <c r="C8" s="13" t="n"/>
      <c r="D8" s="13" t="n"/>
      <c r="E8" s="13" t="n"/>
      <c r="F8" s="13" t="n"/>
      <c r="G8" s="13" t="n"/>
      <c r="H8" s="13" t="n"/>
    </row>
    <row r="9">
      <c r="A9" s="13" t="n"/>
      <c r="B9" s="13" t="n"/>
      <c r="C9" s="13" t="n"/>
      <c r="D9" s="13" t="n"/>
      <c r="E9" s="13" t="n"/>
      <c r="F9" s="13" t="n"/>
      <c r="G9" s="13" t="n"/>
      <c r="H9" s="13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13" t="n"/>
    </row>
    <row r="27">
      <c r="A27" s="13" t="n"/>
      <c r="B27" s="13" t="n"/>
      <c r="C27" s="13" t="n"/>
      <c r="D27" s="13" t="n"/>
      <c r="E27" s="13" t="n"/>
      <c r="F27" s="13" t="n"/>
      <c r="G27" s="13" t="n"/>
      <c r="H27" s="13" t="n"/>
    </row>
    <row r="28">
      <c r="A28" s="13" t="n"/>
      <c r="B28" s="13" t="n"/>
      <c r="C28" s="13" t="n"/>
      <c r="D28" s="13" t="n"/>
      <c r="E28" s="13" t="n"/>
      <c r="F28" s="13" t="n"/>
      <c r="G28" s="13" t="n"/>
      <c r="H28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2026-04-27T06:48:31Z</dcterms:created>
  <dcterms:modified xmlns:dcterms="http://purl.org/dc/terms/" xmlns:xsi="http://www.w3.org/2001/XMLSchema-instance" xsi:type="dcterms:W3CDTF">2026-08-08T02:57:20Z</dcterms:modified>
  <cp:lastModifiedBy>Zhaoming Zhang</cp:lastModifiedBy>
</cp:coreProperties>
</file>