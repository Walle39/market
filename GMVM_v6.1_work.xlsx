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35" windowWidth="29040" windowHeight="15720" tabRatio="600" firstSheet="0" activeTab="0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b val="1"/>
      <sz val="11"/>
    </font>
    <font>
      <name val="宋体"/>
      <charset val="134"/>
      <b val="1"/>
      <sz val="11"/>
    </font>
    <font>
      <name val="宋体"/>
      <charset val="134"/>
      <b val="1"/>
      <sz val="11"/>
    </font>
  </fonts>
  <fills count="18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FF3CD"/>
      </patternFill>
    </fill>
    <fill>
      <patternFill patternType="solid">
        <fgColor rgb="FFE8F5E9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0" fontId="0" fillId="12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5" fillId="13" borderId="1" pivotButton="0" quotePrefix="0" xfId="0"/>
    <xf numFmtId="0" fontId="6" fillId="14" borderId="1" applyAlignment="1" pivotButton="0" quotePrefix="0" xfId="0">
      <alignment horizontal="center" vertical="center" wrapText="1"/>
    </xf>
    <xf numFmtId="0" fontId="0" fillId="15" borderId="1" applyAlignment="1" pivotButton="0" quotePrefix="0" xfId="0">
      <alignment horizontal="center" vertical="center" wrapText="1"/>
    </xf>
    <xf numFmtId="0" fontId="0" fillId="15" borderId="1" applyAlignment="1" pivotButton="0" quotePrefix="0" xfId="0">
      <alignment horizontal="center" vertical="center"/>
    </xf>
    <xf numFmtId="0" fontId="7" fillId="16" borderId="1" applyAlignment="1" pivotButton="0" quotePrefix="0" xfId="0">
      <alignment horizontal="center" vertical="center" wrapText="1"/>
    </xf>
    <xf numFmtId="0" fontId="0" fillId="17" borderId="1" applyAlignment="1" pivotButton="0" quotePrefix="0" xfId="0">
      <alignment horizontal="center" vertical="center" wrapText="1"/>
    </xf>
    <xf numFmtId="0" fontId="0" fillId="17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abSelected="1" workbookViewId="0">
      <selection activeCell="C16" sqref="C16"/>
    </sheetView>
  </sheetViews>
  <sheetFormatPr baseColWidth="8" defaultRowHeight="14.5"/>
  <cols>
    <col width="16" customWidth="1" min="1" max="1"/>
    <col width="14" customWidth="1" min="2" max="20"/>
    <col width="11.26953125" customWidth="1" min="21" max="21"/>
    <col width="11.0898437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26" t="inlineStr">
        <is>
          <t>2026-05-13</t>
        </is>
      </c>
      <c r="B3" s="27" t="n">
        <v>838</v>
      </c>
      <c r="C3" s="27" t="n">
        <v>4.88</v>
      </c>
      <c r="D3" s="27" t="n">
        <v>122.56815</v>
      </c>
      <c r="E3" s="28" t="n">
        <v>2.5</v>
      </c>
      <c r="F3" s="27" t="n">
        <v>1.95</v>
      </c>
      <c r="G3" s="27" t="n">
        <v>97.7146</v>
      </c>
      <c r="H3" s="27" t="n">
        <v>-0.01</v>
      </c>
      <c r="I3" s="27" t="n">
        <v>53.6281</v>
      </c>
      <c r="J3" s="27" t="n">
        <v>3.3786</v>
      </c>
      <c r="K3" s="27" t="n">
        <v>37.25</v>
      </c>
      <c r="L3" s="27" t="n">
        <v>50</v>
      </c>
      <c r="M3" s="27" t="n">
        <v>-0.0389</v>
      </c>
      <c r="N3" s="27" t="n">
        <v>67</v>
      </c>
      <c r="O3" s="27" t="n">
        <v>18.38</v>
      </c>
      <c r="P3" s="27" t="n">
        <v>1.65</v>
      </c>
      <c r="Q3" s="28" t="n">
        <v>122.1733169555664</v>
      </c>
      <c r="R3" s="27" t="n">
        <v>118.26</v>
      </c>
      <c r="S3" s="27" t="n">
        <v>3.95</v>
      </c>
      <c r="T3" s="27" t="n">
        <v>4730</v>
      </c>
      <c r="U3" s="27" t="n">
        <v>-0.0978</v>
      </c>
      <c r="V3" s="27" t="n">
        <v>0</v>
      </c>
    </row>
    <row r="4">
      <c r="A4" s="9" t="inlineStr">
        <is>
          <t>2026-06-08</t>
        </is>
      </c>
      <c r="B4" s="18" t="n">
        <v>870.5</v>
      </c>
      <c r="C4" s="19" t="n">
        <v>4.88</v>
      </c>
      <c r="D4" s="19" t="n">
        <v>121.0391507537651</v>
      </c>
      <c r="E4" s="16" t="n">
        <v>2.5</v>
      </c>
      <c r="F4" s="19" t="n"/>
      <c r="G4" s="19" t="n">
        <v>100.1393</v>
      </c>
      <c r="H4" s="19" t="n">
        <v>-1.53</v>
      </c>
      <c r="I4" s="19" t="n">
        <v>63.96214040840662</v>
      </c>
      <c r="J4" s="19" t="n">
        <v>2.515030212808355</v>
      </c>
      <c r="K4" s="19" t="n"/>
      <c r="L4" s="19" t="n">
        <v>50</v>
      </c>
      <c r="M4" s="19" t="n"/>
      <c r="N4" s="19" t="n">
        <v>50</v>
      </c>
      <c r="O4" s="19" t="n">
        <v>25.21</v>
      </c>
      <c r="P4" s="19" t="n"/>
      <c r="Q4" s="16" t="n">
        <v>184.18</v>
      </c>
      <c r="R4" s="19" t="n">
        <v>97.38800000000001</v>
      </c>
      <c r="S4" s="19" t="n">
        <v>3.8</v>
      </c>
      <c r="T4" s="19" t="n">
        <v>4291.22</v>
      </c>
      <c r="U4" s="19" t="n">
        <v>-0.01</v>
      </c>
      <c r="V4" s="18" t="n">
        <v>0.06</v>
      </c>
    </row>
    <row r="5">
      <c r="A5" s="9" t="inlineStr">
        <is>
          <t>2026-06-08</t>
        </is>
      </c>
      <c r="B5" s="18" t="n">
        <v>870.5</v>
      </c>
      <c r="C5" s="10" t="n">
        <v>4.88</v>
      </c>
      <c r="D5" s="10" t="n">
        <v>121.0391507537651</v>
      </c>
      <c r="E5" s="16" t="n">
        <v>2.5</v>
      </c>
      <c r="F5" s="10" t="n">
        <v>2.11</v>
      </c>
      <c r="G5" s="10" t="n">
        <v>100.1605</v>
      </c>
      <c r="H5" s="10" t="n">
        <v>-1.53</v>
      </c>
      <c r="I5" s="10" t="n">
        <v>64.02837938760268</v>
      </c>
      <c r="J5" s="10" t="n">
        <v>2.51238109750737</v>
      </c>
      <c r="K5" s="10" t="n">
        <v>37.27</v>
      </c>
      <c r="L5" s="10" t="n">
        <v>50</v>
      </c>
      <c r="M5" s="10" t="n">
        <v>-0.406</v>
      </c>
      <c r="N5" s="10" t="n">
        <v>50</v>
      </c>
      <c r="O5" s="10" t="n">
        <v>25.21</v>
      </c>
      <c r="P5" s="10" t="n">
        <v>1.55</v>
      </c>
      <c r="Q5" s="16" t="n">
        <v>184.18</v>
      </c>
      <c r="R5" s="10" t="n">
        <v>97.27</v>
      </c>
      <c r="S5" s="10" t="n">
        <v>3.8</v>
      </c>
      <c r="T5" s="10" t="n">
        <v>4286.7</v>
      </c>
      <c r="U5" s="10" t="n">
        <v>-0.01</v>
      </c>
      <c r="V5" s="10" t="n">
        <v>0.08</v>
      </c>
    </row>
    <row r="6">
      <c r="A6" s="23" t="inlineStr">
        <is>
          <t>2026-06-08</t>
        </is>
      </c>
      <c r="B6" s="24" t="n">
        <v>870.5</v>
      </c>
      <c r="C6" s="24" t="n">
        <v>4.88</v>
      </c>
      <c r="D6" s="24" t="n">
        <v>121.0391507537651</v>
      </c>
      <c r="E6" s="25" t="n">
        <v>2.5</v>
      </c>
      <c r="F6" s="24" t="n">
        <v>2.11</v>
      </c>
      <c r="G6" s="24" t="n">
        <v>100.1657</v>
      </c>
      <c r="H6" s="24" t="n">
        <v>-1.53</v>
      </c>
      <c r="I6" s="24" t="n">
        <v>64.03032566477442</v>
      </c>
      <c r="J6" s="24" t="n">
        <v>2.512082192904825</v>
      </c>
      <c r="K6" s="24" t="n">
        <v>37.27</v>
      </c>
      <c r="L6" s="24" t="n">
        <v>50</v>
      </c>
      <c r="M6" s="24" t="n">
        <v>-0.406</v>
      </c>
      <c r="N6" s="24" t="n">
        <v>50</v>
      </c>
      <c r="O6" s="24" t="n">
        <v>25.21</v>
      </c>
      <c r="P6" s="24" t="n">
        <v>1.55</v>
      </c>
      <c r="Q6" s="25" t="n">
        <v>184.18</v>
      </c>
      <c r="R6" s="24" t="n">
        <v>97.33199999999999</v>
      </c>
      <c r="S6" s="24" t="n">
        <v>3.8</v>
      </c>
      <c r="T6" s="24" t="n">
        <v>4286.19</v>
      </c>
      <c r="U6" s="24" t="n">
        <v>-0.01</v>
      </c>
      <c r="V6" s="24" t="n">
        <v>0.09</v>
      </c>
    </row>
    <row r="7">
      <c r="A7" s="23" t="n"/>
      <c r="B7" s="18" t="n"/>
      <c r="C7" s="24" t="n"/>
      <c r="D7" s="24" t="n"/>
      <c r="E7" s="16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  <c r="Q7" s="16" t="n"/>
      <c r="R7" s="24" t="n"/>
      <c r="S7" s="24" t="n"/>
      <c r="T7" s="24" t="n"/>
      <c r="U7" s="24" t="n"/>
      <c r="V7" s="24" t="n"/>
    </row>
    <row r="8">
      <c r="A8" s="23" t="n"/>
      <c r="B8" s="18" t="n"/>
      <c r="C8" s="24" t="n"/>
      <c r="D8" s="24" t="n"/>
      <c r="E8" s="16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16" t="n"/>
      <c r="R8" s="24" t="n"/>
      <c r="S8" s="24" t="n"/>
      <c r="T8" s="24" t="n"/>
      <c r="U8" s="24" t="n"/>
      <c r="V8" s="24" t="n"/>
    </row>
    <row r="9">
      <c r="A9" s="23" t="n"/>
      <c r="B9" s="18" t="n"/>
      <c r="C9" s="24" t="n"/>
      <c r="D9" s="24" t="n"/>
      <c r="E9" s="16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16" t="n"/>
      <c r="R9" s="24" t="n"/>
      <c r="S9" s="24" t="n"/>
      <c r="T9" s="24" t="n"/>
      <c r="U9" s="24" t="n"/>
      <c r="V9" s="24" t="n"/>
    </row>
    <row r="10">
      <c r="A10" s="23" t="n"/>
      <c r="B10" s="18" t="n"/>
      <c r="C10" s="24" t="n"/>
      <c r="D10" s="24" t="n"/>
      <c r="E10" s="16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16" t="n"/>
      <c r="R10" s="24" t="n"/>
      <c r="S10" s="24" t="n"/>
      <c r="T10" s="24" t="n"/>
      <c r="U10" s="24" t="n"/>
      <c r="V10" s="24" t="n"/>
    </row>
    <row r="11">
      <c r="A11" s="23" t="n"/>
      <c r="B11" s="18" t="n"/>
      <c r="C11" s="24" t="n"/>
      <c r="D11" s="24" t="n"/>
      <c r="E11" s="16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16" t="n"/>
      <c r="R11" s="24" t="n"/>
      <c r="S11" s="24" t="n"/>
      <c r="T11" s="24" t="n"/>
      <c r="U11" s="24" t="n"/>
      <c r="V11" s="24" t="n"/>
    </row>
    <row r="12">
      <c r="A12" s="23" t="n"/>
      <c r="B12" s="18" t="n"/>
      <c r="C12" s="24" t="n"/>
      <c r="D12" s="24" t="n"/>
      <c r="E12" s="16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16" t="n"/>
      <c r="R12" s="24" t="n"/>
      <c r="S12" s="24" t="n"/>
      <c r="T12" s="24" t="n"/>
      <c r="U12" s="24" t="n"/>
      <c r="V12" s="24" t="n"/>
    </row>
    <row r="13">
      <c r="A13" s="23" t="n"/>
      <c r="B13" s="18" t="n"/>
      <c r="C13" s="24" t="n"/>
      <c r="D13" s="24" t="n"/>
      <c r="E13" s="16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16" t="n"/>
      <c r="R13" s="24" t="n"/>
      <c r="S13" s="24" t="n"/>
      <c r="T13" s="24" t="n"/>
      <c r="U13" s="24" t="n"/>
      <c r="V13" s="24" t="n"/>
    </row>
    <row r="14">
      <c r="A14" s="23" t="n"/>
      <c r="B14" s="18" t="n"/>
      <c r="C14" s="24" t="n"/>
      <c r="D14" s="24" t="n"/>
      <c r="E14" s="16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16" t="n"/>
      <c r="R14" s="24" t="n"/>
      <c r="S14" s="24" t="n"/>
      <c r="T14" s="24" t="n"/>
      <c r="U14" s="24" t="n"/>
      <c r="V14" s="24" t="n"/>
    </row>
    <row r="15">
      <c r="A15" s="23" t="n"/>
      <c r="B15" s="18" t="n"/>
      <c r="C15" s="24" t="n"/>
      <c r="D15" s="24" t="n"/>
      <c r="E15" s="16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16">
        <f>Q26</f>
        <v/>
      </c>
      <c r="R15" s="24" t="n"/>
      <c r="S15" s="24" t="n"/>
      <c r="T15" s="24" t="n"/>
      <c r="U15" s="24" t="n"/>
      <c r="V15" s="24" t="n"/>
    </row>
    <row r="16">
      <c r="A16" s="23" t="n"/>
      <c r="B16" s="18" t="n"/>
      <c r="C16" s="24" t="n"/>
      <c r="D16" s="24" t="n"/>
      <c r="E16" s="16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16" t="n"/>
      <c r="R16" s="24" t="n"/>
      <c r="S16" s="24" t="n"/>
      <c r="T16" s="24" t="n"/>
      <c r="U16" s="24" t="n"/>
      <c r="V16" s="24" t="n"/>
    </row>
    <row r="17">
      <c r="A17" s="23" t="n"/>
      <c r="B17" s="18" t="n"/>
      <c r="C17" s="24" t="n"/>
      <c r="D17" s="24" t="n"/>
      <c r="E17" s="16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16" t="n"/>
      <c r="R17" s="24" t="n"/>
      <c r="S17" s="24" t="n"/>
      <c r="T17" s="24" t="n"/>
      <c r="U17" s="24" t="n"/>
      <c r="V17" s="24" t="n"/>
    </row>
    <row r="18">
      <c r="A18" s="9" t="n"/>
      <c r="B18" s="18" t="n"/>
      <c r="C18" s="10" t="n"/>
      <c r="D18" s="10" t="n"/>
      <c r="E18" s="16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6">
        <f>Q27</f>
        <v/>
      </c>
      <c r="R18" s="10" t="n"/>
      <c r="S18" s="10" t="n"/>
      <c r="T18" s="10" t="n"/>
      <c r="U18" s="10" t="n"/>
      <c r="V18" s="10" t="n"/>
    </row>
    <row r="19">
      <c r="A19" s="9" t="n"/>
      <c r="B19" s="18" t="n"/>
      <c r="C19" s="10" t="n"/>
      <c r="D19" s="10" t="n"/>
      <c r="E19" s="16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6">
        <f>Q28</f>
        <v/>
      </c>
      <c r="R19" s="10" t="n"/>
      <c r="S19" s="10" t="n"/>
      <c r="T19" s="10" t="n"/>
      <c r="U19" s="10" t="n"/>
      <c r="V19" s="10" t="n"/>
    </row>
    <row r="20">
      <c r="A20" s="9" t="n"/>
      <c r="B20" s="18" t="n"/>
      <c r="C20" s="10" t="n"/>
      <c r="D20" s="10" t="n"/>
      <c r="E20" s="16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6" t="n"/>
      <c r="R20" s="10" t="n"/>
      <c r="S20" s="10" t="n"/>
      <c r="T20" s="10" t="n"/>
      <c r="U20" s="10" t="n"/>
      <c r="V20" s="10" t="n"/>
    </row>
    <row r="21">
      <c r="A21" s="9" t="n"/>
      <c r="B21" s="18" t="n"/>
      <c r="C21" s="10" t="n"/>
      <c r="D21" s="10" t="n"/>
      <c r="E21" s="16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6">
        <f>Q29</f>
        <v/>
      </c>
      <c r="R21" s="10" t="n"/>
      <c r="S21" s="10" t="n"/>
      <c r="T21" s="10" t="n"/>
      <c r="U21" s="10" t="n"/>
      <c r="V21" s="10" t="n"/>
    </row>
    <row r="22">
      <c r="A22" s="9" t="n"/>
      <c r="B22" s="18" t="n"/>
      <c r="C22" s="10" t="n"/>
      <c r="D22" s="10" t="n"/>
      <c r="E22" s="16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6">
        <f>Q30</f>
        <v/>
      </c>
      <c r="R22" s="10" t="n"/>
      <c r="S22" s="10" t="n"/>
      <c r="T22" s="10" t="n"/>
      <c r="U22" s="10" t="n"/>
      <c r="V22" s="10" t="n"/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4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 t="n"/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4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4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B3" sqref="B3"/>
    </sheetView>
  </sheetViews>
  <sheetFormatPr baseColWidth="8" defaultRowHeight="14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IF(B10&gt;120,IF(B11&gt;120,IF(B12&gt;4,1.2,IF(B13=-1,0.95,1.1)),IF(B11&gt;100,IF(B13=-1,0.95,1.1),1.1)),IF(B10&gt;100,IF(B11&gt;120,IF(B12&gt;4,1,IF(B13=-1,0.98,1.05)),IF(B11&gt;100,IF(B13=-1,0.98,1.05),1.05)),1))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I24" sqref="I24"/>
    </sheetView>
  </sheetViews>
  <sheetFormatPr baseColWidth="8" defaultRowHeight="14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0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IF(强制规则检查表!E2&lt;&gt;"","触发","未触发")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0">
        <f>IF(强制规则检查表!E2&lt;&gt;"",强制规则检查表!D2,C9)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1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C2" sqref="C2"/>
    </sheetView>
  </sheetViews>
  <sheetFormatPr baseColWidth="8" defaultRowHeight="14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AND(流动性地缘乘数表!B3&gt;=35,数据收集总表!#REF!&lt;=-0.01,数据收集总表!#REF!&gt;=0.005)</f>
        <v/>
      </c>
      <c r="D2" s="10" t="n">
        <v>-0.5</v>
      </c>
      <c r="E2" s="10">
        <f>IF(C2=TRUE,"触发","")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IF(C3=TRUE,"触发","")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IF(C4=TRUE,"触发","")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IF(C5=TRUE,"触发","")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3" sqref="A3"/>
    </sheetView>
  </sheetViews>
  <sheetFormatPr baseColWidth="8" defaultRowHeight="14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inlineStr">
        <is>
          <t>2026-04-26</t>
        </is>
      </c>
      <c r="B2" s="17" t="inlineStr">
        <is>
          <t>首次数据收集</t>
        </is>
      </c>
      <c r="C2" s="17" t="inlineStr">
        <is>
          <t>完成20项数据采集与填充</t>
        </is>
      </c>
      <c r="D2" s="17" t="inlineStr">
        <is>
          <t>S_macro=-0.25, K_verif=0.85, K_trend=0.94, 最终信号=-0.20</t>
        </is>
      </c>
      <c r="E2" s="17" t="inlineStr">
        <is>
          <t>中性偏空，等待回调</t>
        </is>
      </c>
      <c r="F2" s="13" t="n"/>
      <c r="G2" s="13" t="n"/>
      <c r="H2" s="13" t="n"/>
    </row>
    <row r="3">
      <c r="A3" s="13" t="inlineStr">
        <is>
          <t>2026-04-30</t>
        </is>
      </c>
      <c r="B3" s="13" t="inlineStr">
        <is>
          <t>更新</t>
        </is>
      </c>
      <c r="C3" s="13" t="inlineStr">
        <is>
          <t>完成21项数据采集</t>
        </is>
      </c>
      <c r="D3" s="13" t="inlineStr">
        <is>
          <t>-</t>
        </is>
      </c>
      <c r="E3" s="13" t="inlineStr">
        <is>
          <t>S_macro: 央行购金=838吨, M2=4.2%, 债务GDP=122.57%, Fed=-15bp, TIPS=1.92%, DXY=98.66</t>
        </is>
      </c>
      <c r="F3" s="13" t="n"/>
      <c r="G3" s="13" t="n"/>
      <c r="H3" s="13" t="inlineStr">
        <is>
          <t>自动收集2026-04-30 17:25 | 数据源:新浪/Stooq/FRED/TradingEconomics/akshare(GC)</t>
        </is>
      </c>
    </row>
    <row r="4" ht="15" customHeight="1">
      <c r="A4" s="22" t="inlineStr">
        <is>
          <t>2026-04-30 18:34:08</t>
        </is>
      </c>
      <c r="B4" s="13" t="inlineStr">
        <is>
          <t>自动数据收集</t>
        </is>
      </c>
      <c r="C4" s="13" t="inlineStr">
        <is>
          <t>Row 6 (2026-04-30)</t>
        </is>
      </c>
      <c r="D4" s="13" t="inlineStr">
        <is>
          <t>-</t>
        </is>
      </c>
      <c r="E4" s="13" t="inlineStr">
        <is>
          <t>22/22项数据完整写入</t>
        </is>
      </c>
      <c r="F4" s="13" t="n"/>
      <c r="G4" s="13" t="n"/>
      <c r="H4" s="13" t="inlineStr">
        <is>
          <t>数据源: 新浪(金价/银价/金银比/DXY日涨跌), Stooq(DXY), FRED(M2/TIPS/债务GDP/VIX/信用利差/CPI), TradingEconomics(布油$110.37), akshare COMEX GC(技术指标/ETF变化), 缓存(GPR/AISC/央行购金/Fed预期差)</t>
        </is>
      </c>
    </row>
    <row r="5">
      <c r="A5" s="13" t="inlineStr">
        <is>
          <t>2026-04-30 19:45:11</t>
        </is>
      </c>
      <c r="B5" s="13" t="inlineStr">
        <is>
          <t>自动数据收集</t>
        </is>
      </c>
      <c r="C5" s="13" t="inlineStr">
        <is>
          <t>Row 7 (2026-04-30)</t>
        </is>
      </c>
      <c r="D5" s="13" t="inlineStr">
        <is>
          <t>-</t>
        </is>
      </c>
      <c r="E5" s="13" t="inlineStr">
        <is>
          <t>22/22项数据完整写入</t>
        </is>
      </c>
      <c r="F5" s="13" t="n"/>
      <c r="G5" s="13" t="n"/>
      <c r="H5" s="13" t="inlineStr">
        <is>
          <t>数据源: 新浪(hf_XAU/hf_XAG/hf_CL金价/银价/金银比), Stooq(DXY=98.485), FRED(M2=4.2%/TIPS=1.92%/债务GDP=122.57%/VIX=17.83/信用利差=1.69%/CPI=3.32%), akshare COMEX GC(技术指标), 东方财富(ETF4周变化=1.8%), 缓存(GPR=297.27/AISC=1400/央行购金=838吨/Fed=-15bp)</t>
        </is>
      </c>
    </row>
    <row r="6">
      <c r="A6" s="13" t="inlineStr">
        <is>
          <t>2026-04-30 20:51:46</t>
        </is>
      </c>
      <c r="B6" s="13" t="inlineStr">
        <is>
          <t>自动数据收集</t>
        </is>
      </c>
      <c r="C6" s="13" t="inlineStr">
        <is>
          <t>数据收集总表 Row 8</t>
        </is>
      </c>
      <c r="D6" s="13" t="inlineStr">
        <is>
          <t>新增2026-04-30数据，22项全部完整</t>
        </is>
      </c>
      <c r="E6" s="13" t="inlineStr">
        <is>
          <t>成功</t>
        </is>
      </c>
      <c r="F6" s="13" t="n"/>
      <c r="G6" s="13" t="n"/>
      <c r="H6" s="13" t="n"/>
    </row>
    <row r="7">
      <c r="A7" s="13" t="inlineStr">
        <is>
          <t>2026-04-30 21:59:13</t>
        </is>
      </c>
      <c r="B7" s="13" t="inlineStr">
        <is>
          <t>自动数据收集</t>
        </is>
      </c>
      <c r="C7" s="13" t="inlineStr">
        <is>
          <t>数据收集总表 Row 9</t>
        </is>
      </c>
      <c r="D7" s="13" t="inlineStr">
        <is>
          <t>新增2026-04-30数据，22项全部完整</t>
        </is>
      </c>
      <c r="E7" s="13" t="inlineStr">
        <is>
          <t>金价$4543.41, DXY=98.327, VIX=18.81, GPR=297.27</t>
        </is>
      </c>
      <c r="F7" s="13" t="n"/>
      <c r="G7" s="13" t="n"/>
      <c r="H7" s="13" t="n"/>
    </row>
    <row r="8">
      <c r="A8" s="13" t="inlineStr">
        <is>
          <t>2026-04-30 23:05:30</t>
        </is>
      </c>
      <c r="B8" s="13" t="inlineStr">
        <is>
          <t>自动数据收集</t>
        </is>
      </c>
      <c r="C8" s="13" t="inlineStr">
        <is>
          <t>数据收集总表 Row 10 (2026-04-30)</t>
        </is>
      </c>
      <c r="D8" s="13" t="inlineStr">
        <is>
          <t>新增2026-04-30数据行，22项全部完整</t>
        </is>
      </c>
      <c r="E8" s="13" t="inlineStr">
        <is>
          <t>成功</t>
        </is>
      </c>
      <c r="F8" s="13" t="n"/>
      <c r="G8" s="13" t="n"/>
      <c r="H8" s="13" t="inlineStr">
        <is>
          <t>数据源: 新浪(hf_XAU金价4543.41/hf_XAG银价71.27/金银比63.75/hf_CL WTI原油106.263/ETF技术指标), Stooq(DXY=98.005), FRED(M2=4.2%/TIPS=1.92%/债务GDP=122.57%/VIX=18.81/信用利差=1.69%/CPI同比=3.12%), 东方财富(ETF4周变化=2.17%), 缓存(GPR=297.27/AISC=1400/央行购金=838吨/Fed=-15bp)</t>
        </is>
      </c>
    </row>
    <row r="9">
      <c r="A9" s="13" t="inlineStr">
        <is>
          <t>2026-05-01</t>
        </is>
      </c>
      <c r="B9" s="13" t="inlineStr">
        <is>
          <t>数据收集</t>
        </is>
      </c>
      <c r="C9" s="13" t="inlineStr">
        <is>
          <t>第2026-05-01行</t>
        </is>
      </c>
      <c r="D9" s="13" t="inlineStr">
        <is>
          <t>无</t>
        </is>
      </c>
      <c r="E9" s="13" t="inlineStr">
        <is>
          <t>填充 21/22 字段</t>
        </is>
      </c>
      <c r="F9" s="13" t="n"/>
      <c r="G9" s="13" t="n"/>
      <c r="H9" s="13" t="inlineStr">
        <is>
          <t>自动化任务执行 02:24:09</t>
        </is>
      </c>
    </row>
    <row r="10">
      <c r="A10" s="13" t="inlineStr">
        <is>
          <t>2026-05-01</t>
        </is>
      </c>
      <c r="B10" s="13" t="inlineStr">
        <is>
          <t>数据收集</t>
        </is>
      </c>
      <c r="C10" s="13" t="inlineStr">
        <is>
          <t>第2026-05-01行</t>
        </is>
      </c>
      <c r="D10" s="13" t="inlineStr">
        <is>
          <t>无</t>
        </is>
      </c>
      <c r="E10" s="13" t="inlineStr">
        <is>
          <t>填充 21/22 字段</t>
        </is>
      </c>
      <c r="F10" s="13" t="n"/>
      <c r="G10" s="13" t="n"/>
      <c r="H10" s="13" t="inlineStr">
        <is>
          <t>自动化任务执行 06:31:28</t>
        </is>
      </c>
    </row>
    <row r="11">
      <c r="A11" s="13" t="inlineStr">
        <is>
          <t>2026-05-01</t>
        </is>
      </c>
      <c r="B11" s="13" t="inlineStr">
        <is>
          <t>数据收集</t>
        </is>
      </c>
      <c r="C11" s="13" t="inlineStr">
        <is>
          <t>第2026-05-01行</t>
        </is>
      </c>
      <c r="D11" s="13" t="inlineStr">
        <is>
          <t>无</t>
        </is>
      </c>
      <c r="E11" s="13" t="inlineStr">
        <is>
          <t>填充 21/22 字段</t>
        </is>
      </c>
      <c r="F11" s="13" t="n"/>
      <c r="G11" s="13" t="n"/>
      <c r="H11" s="13" t="inlineStr">
        <is>
          <t>自动化任务执行 06:51:20</t>
        </is>
      </c>
    </row>
    <row r="12">
      <c r="A12" s="13" t="inlineStr">
        <is>
          <t>2026-05-01</t>
        </is>
      </c>
      <c r="B12" s="13" t="inlineStr">
        <is>
          <t>数据收集</t>
        </is>
      </c>
      <c r="C12" s="13" t="inlineStr">
        <is>
          <t>第2026-05-01行</t>
        </is>
      </c>
      <c r="D12" s="13" t="inlineStr">
        <is>
          <t>无</t>
        </is>
      </c>
      <c r="E12" s="13" t="inlineStr">
        <is>
          <t>填充 21/22 字段</t>
        </is>
      </c>
      <c r="F12" s="13" t="n"/>
      <c r="G12" s="13" t="n"/>
      <c r="H12" s="13" t="inlineStr">
        <is>
          <t>自动化任务执行 07:56:30</t>
        </is>
      </c>
    </row>
    <row r="13">
      <c r="A13" s="13" t="inlineStr">
        <is>
          <t>2026-05-01 14:38:38 | 自动更新 | 新增第16行数据 | 22/22项完整 | 金价$4595.08 DXY 98.232 布油$111.815 | 来源: 新浪+FRED+CNBC+东方财富</t>
        </is>
      </c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inlineStr">
        <is>
          <t>2026-05-12 08:16:50</t>
        </is>
      </c>
      <c r="B14" s="13" t="inlineStr">
        <is>
          <t>自动更新数据</t>
        </is>
      </c>
      <c r="C14" s="13" t="inlineStr">
        <is>
          <t>成功</t>
        </is>
      </c>
      <c r="D14" s="13" t="inlineStr">
        <is>
          <t>dxy, aisc</t>
        </is>
      </c>
      <c r="E14" s="13" t="inlineStr">
        <is>
          <t>自动收集20/22项数据</t>
        </is>
      </c>
      <c r="F14" s="13" t="n"/>
      <c r="G14" s="13" t="n"/>
      <c r="H14" s="13" t="n"/>
    </row>
    <row r="15">
      <c r="A15" s="13" t="inlineStr">
        <is>
          <t>2026-05-13</t>
        </is>
      </c>
      <c r="B15" s="13" t="inlineStr">
        <is>
          <t>自动更新</t>
        </is>
      </c>
      <c r="C15" s="13" t="inlineStr">
        <is>
          <t>17项数据</t>
        </is>
      </c>
      <c r="D15" s="13" t="inlineStr">
        <is>
          <t>-</t>
        </is>
      </c>
      <c r="E15" s="13" t="inlineStr">
        <is>
          <t>Row 14</t>
        </is>
      </c>
      <c r="F15" s="13" t="n"/>
      <c r="G15" s="13" t="n"/>
      <c r="H15" s="13" t="inlineStr">
        <is>
          <t>自动采集 17 项数据，缺失: 金价, AISC, ETF4周变化</t>
        </is>
      </c>
    </row>
    <row r="16">
      <c r="A16" s="13" t="inlineStr">
        <is>
          <t>2026-05-13</t>
        </is>
      </c>
      <c r="B16" s="13" t="inlineStr">
        <is>
          <t>自动更新</t>
        </is>
      </c>
      <c r="C16" s="13" t="inlineStr">
        <is>
          <t>20项数据</t>
        </is>
      </c>
      <c r="D16" s="13" t="inlineStr">
        <is>
          <t>-</t>
        </is>
      </c>
      <c r="E16" s="13" t="inlineStr">
        <is>
          <t>Row 15</t>
        </is>
      </c>
      <c r="F16" s="13" t="n"/>
      <c r="G16" s="13" t="n"/>
      <c r="H16" s="13" t="inlineStr">
        <is>
          <t>自动采集 20 项数据，缺失: AISC, ETF4周变化</t>
        </is>
      </c>
    </row>
    <row r="17">
      <c r="A17" s="13" t="inlineStr">
        <is>
          <t>2026-05-13</t>
        </is>
      </c>
      <c r="B17" s="13" t="inlineStr">
        <is>
          <t>自动更新</t>
        </is>
      </c>
      <c r="C17" s="13" t="inlineStr">
        <is>
          <t>22项数据</t>
        </is>
      </c>
      <c r="D17" s="13" t="inlineStr">
        <is>
          <t>-</t>
        </is>
      </c>
      <c r="E17" s="13" t="inlineStr">
        <is>
          <t>Row 16</t>
        </is>
      </c>
      <c r="F17" s="13" t="n"/>
      <c r="G17" s="13" t="n"/>
      <c r="H17" s="13" t="inlineStr">
        <is>
          <t>自动采集 22 项数据，缺失: AISC</t>
        </is>
      </c>
    </row>
    <row r="18">
      <c r="A18" s="13" t="inlineStr">
        <is>
          <t>2026-05-13</t>
        </is>
      </c>
      <c r="B18" s="13" t="inlineStr">
        <is>
          <t>自动更新</t>
        </is>
      </c>
      <c r="C18" s="13" t="inlineStr">
        <is>
          <t>22项数据</t>
        </is>
      </c>
      <c r="D18" s="13" t="inlineStr">
        <is>
          <t>-</t>
        </is>
      </c>
      <c r="E18" s="13" t="inlineStr">
        <is>
          <t>Row 17</t>
        </is>
      </c>
      <c r="F18" s="13" t="n"/>
      <c r="G18" s="13" t="n"/>
      <c r="H18" s="13" t="inlineStr">
        <is>
          <t>自动采集 22 项数据，缺失: AISC</t>
        </is>
      </c>
    </row>
    <row r="19">
      <c r="A19" s="13" t="inlineStr">
        <is>
          <t>2026-05-13 08:36:01</t>
        </is>
      </c>
      <c r="B19" s="13" t="inlineStr">
        <is>
          <t>自动更新</t>
        </is>
      </c>
      <c r="C19" s="13" t="inlineStr">
        <is>
          <t>GMVM_v6.1_数据表 第14行(2026-05-13)</t>
        </is>
      </c>
      <c r="D19" s="13" t="inlineStr">
        <is>
          <t>-</t>
        </is>
      </c>
      <c r="E19" s="13" t="inlineStr">
        <is>
          <t>22/22项原始数据采集完成</t>
        </is>
      </c>
      <c r="F19" s="13" t="inlineStr">
        <is>
          <t>-</t>
        </is>
      </c>
      <c r="G19" s="13" t="inlineStr">
        <is>
          <t>-</t>
        </is>
      </c>
      <c r="H19" s="13" t="inlineStr">
        <is>
          <t>自动采集22项: 金价730(akshare GC), 银价8.20(akshare SI), DXY=97.7146(FRED/1.208 05-08), 布油18.26(FRED 05-01), M2同比=4.88%, TIPS=1.95%, VIX=18.38, 信用利差=1.65%, 债务/GDP=122.57%, CPI同比=3.95%, Fed预期差=2.5bp(SOFR), GPR=122.17(04月), 央行购金=838吨(Q1-2026缓存), RSI=37.25, 布林带=67, MACD背离=50, MA20斜率=-0.04%, ETF4周=-0.01%, 金银比=53.63, 金价日涨跌=-0.10%, DXY日涨跌=0.00%(FRED尚未更新); AISC字段待手动从WGC更新</t>
        </is>
      </c>
    </row>
    <row r="20">
      <c r="A20" s="13" t="inlineStr">
        <is>
          <t>2026-05-13 15:58:50</t>
        </is>
      </c>
      <c r="B20" s="13" t="inlineStr">
        <is>
          <t>每日轻量</t>
        </is>
      </c>
      <c r="C20" s="13" t="inlineStr">
        <is>
          <t>8+7项</t>
        </is>
      </c>
      <c r="D20" s="13" t="inlineStr">
        <is>
          <t>-</t>
        </is>
      </c>
      <c r="E20" s="13" t="inlineStr">
        <is>
          <t>Row15</t>
        </is>
      </c>
      <c r="F20" s="13" t="n"/>
      <c r="G20" s="13" t="n"/>
      <c r="H20" s="13" t="inlineStr">
        <is>
          <t>每日轻量采集8项，继承7项低频数据</t>
        </is>
      </c>
    </row>
    <row r="21">
      <c r="A21" s="13" t="inlineStr">
        <is>
          <t>2026-05-13 15:59:33</t>
        </is>
      </c>
      <c r="B21" s="13" t="inlineStr">
        <is>
          <t>低频补全</t>
        </is>
      </c>
      <c r="C21" s="13" t="inlineStr">
        <is>
          <t>7项</t>
        </is>
      </c>
      <c r="D21" s="13" t="inlineStr">
        <is>
          <t>-</t>
        </is>
      </c>
      <c r="E21" s="13" t="inlineStr">
        <is>
          <t>Row15</t>
        </is>
      </c>
      <c r="F21" s="13" t="n"/>
      <c r="G21" s="13" t="n"/>
      <c r="H21" s="13" t="inlineStr">
        <is>
          <t>补全:央行购金=838吨,AISC=$1400.0,GPR=122.1733169555664,M2同比=4.88%,债务/GDP=122.56815%,CPI同比=3.95%,信用利差=1.65%</t>
        </is>
      </c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  <row r="29">
      <c r="A29" t="inlineStr">
        <is>
          <t>2026-05-01 00:11:24</t>
        </is>
      </c>
      <c r="B29" t="inlineStr">
        <is>
          <t>数据更新</t>
        </is>
      </c>
      <c r="C29" t="inlineStr">
        <is>
          <t>新增Row 11</t>
        </is>
      </c>
      <c r="D29" t="inlineStr">
        <is>
          <t>2026-05-01</t>
        </is>
      </c>
      <c r="E29" t="inlineStr">
        <is>
          <t>22/22项完整</t>
        </is>
      </c>
    </row>
    <row r="30">
      <c r="A30" t="inlineStr">
        <is>
          <t>2026-05-01 01:17:10</t>
        </is>
      </c>
      <c r="B30" t="inlineStr">
        <is>
          <t>数据收集总表</t>
        </is>
      </c>
      <c r="C30" t="inlineStr">
        <is>
          <t>自动更新第29行 (2026-05-01)</t>
        </is>
      </c>
      <c r="D30" t="inlineStr">
        <is>
          <t>成功</t>
        </is>
      </c>
    </row>
    <row r="31">
      <c r="A31" t="inlineStr">
        <is>
          <t>2026-05-01</t>
        </is>
      </c>
      <c r="B31" t="inlineStr">
        <is>
          <t>03:33:25</t>
        </is>
      </c>
      <c r="C31" t="inlineStr">
        <is>
          <t>成功</t>
        </is>
      </c>
      <c r="D31" t="inlineStr">
        <is>
          <t>自动收集数据 (行11)</t>
        </is>
      </c>
    </row>
    <row r="32">
      <c r="A32" t="inlineStr">
        <is>
          <t>2026-05-01</t>
        </is>
      </c>
      <c r="B32" t="inlineStr">
        <is>
          <t>03:35:42</t>
        </is>
      </c>
      <c r="C32" t="inlineStr">
        <is>
          <t>成功</t>
        </is>
      </c>
      <c r="D32" t="inlineStr">
        <is>
          <t>自动化数据收集 (行6, 22字段完整)</t>
        </is>
      </c>
    </row>
    <row r="33">
      <c r="A33" t="inlineStr">
        <is>
          <t>2026-05-01 04:40:08</t>
        </is>
      </c>
      <c r="B33" t="inlineStr">
        <is>
          <t>自动数据收集</t>
        </is>
      </c>
      <c r="C33" t="inlineStr">
        <is>
          <t>数据收集总表 Row 6 (2026-05-01)</t>
        </is>
      </c>
      <c r="D33" t="inlineStr">
        <is>
          <t>-</t>
        </is>
      </c>
      <c r="E33" t="inlineStr">
        <is>
          <t>22/22项数据完整更新</t>
        </is>
      </c>
    </row>
    <row r="34">
      <c r="A34" t="inlineStr">
        <is>
          <t>2026-05-01 05:42:00</t>
        </is>
      </c>
      <c r="B34" t="inlineStr">
        <is>
          <t>自动数据收集</t>
        </is>
      </c>
      <c r="C34" t="inlineStr">
        <is>
          <t>数据收集总表 Row 7 (2026-05-01)</t>
        </is>
      </c>
      <c r="D34" t="inlineStr">
        <is>
          <t>-</t>
        </is>
      </c>
      <c r="E34" t="inlineStr">
        <is>
          <t>22/22项数据完整写入</t>
        </is>
      </c>
      <c r="H34" t="inlineStr">
        <is>
          <t>自动化任务执行 06:51:20 (已补充布油价格110.44)</t>
        </is>
      </c>
    </row>
    <row r="35">
      <c r="A35" t="inlineStr">
        <is>
          <t>2026-05-01</t>
        </is>
      </c>
      <c r="B35" t="inlineStr">
        <is>
          <t>07:58:23</t>
        </is>
      </c>
      <c r="C35" t="inlineStr">
        <is>
          <t>数据收集</t>
        </is>
      </c>
      <c r="D35" t="inlineStr">
        <is>
          <t>第11行</t>
        </is>
      </c>
      <c r="E35" t="inlineStr">
        <is>
          <t>22/22项数据完整写入</t>
        </is>
      </c>
    </row>
    <row r="36">
      <c r="A36" t="inlineStr">
        <is>
          <t>2026-05-01</t>
        </is>
      </c>
      <c r="B36" t="inlineStr">
        <is>
          <t>09:08:27</t>
        </is>
      </c>
      <c r="C36" t="inlineStr">
        <is>
          <t>数据收集</t>
        </is>
      </c>
      <c r="D36" t="inlineStr">
        <is>
          <t>第12行</t>
        </is>
      </c>
      <c r="E36" t="inlineStr">
        <is>
          <t>22/22项数据完整写入</t>
        </is>
      </c>
    </row>
    <row r="37">
      <c r="A37" t="inlineStr">
        <is>
          <t>2026-05-01</t>
        </is>
      </c>
      <c r="B37" t="inlineStr">
        <is>
          <t>10:12:58</t>
        </is>
      </c>
      <c r="C37" t="inlineStr">
        <is>
          <t>数据收集</t>
        </is>
      </c>
      <c r="D37" t="inlineStr">
        <is>
          <t>第13行</t>
        </is>
      </c>
      <c r="E37" t="inlineStr">
        <is>
          <t>21/22项数据完整写入</t>
        </is>
      </c>
    </row>
    <row r="38">
      <c r="A38" t="inlineStr">
        <is>
          <t>2026-05-01</t>
        </is>
      </c>
      <c r="B38" t="inlineStr">
        <is>
          <t>10:13:26</t>
        </is>
      </c>
      <c r="C38" t="inlineStr">
        <is>
          <t>补充数据</t>
        </is>
      </c>
      <c r="D38" t="inlineStr">
        <is>
          <t>第13行</t>
        </is>
      </c>
      <c r="E38" t="inlineStr">
        <is>
          <t>TIPS=1.96, CPI同比=3.32% 补充完整 (22/22)</t>
        </is>
      </c>
    </row>
    <row r="39">
      <c r="A39" t="inlineStr">
        <is>
          <t>2026-05-01</t>
        </is>
      </c>
      <c r="B39" t="inlineStr">
        <is>
          <t>11:15:45</t>
        </is>
      </c>
      <c r="C39" t="inlineStr">
        <is>
          <t>数据收集</t>
        </is>
      </c>
      <c r="D39" t="inlineStr">
        <is>
          <t>第14行</t>
        </is>
      </c>
      <c r="E39" t="inlineStr">
        <is>
          <t>22/22项数据完整写入</t>
        </is>
      </c>
    </row>
    <row r="40">
      <c r="A40" t="inlineStr">
        <is>
          <t>2026-05-01</t>
        </is>
      </c>
      <c r="B40" t="inlineStr">
        <is>
          <t>12:22:38</t>
        </is>
      </c>
      <c r="C40" t="inlineStr">
        <is>
          <t>数据收集</t>
        </is>
      </c>
      <c r="D40" t="inlineStr">
        <is>
          <t>第15行</t>
        </is>
      </c>
      <c r="E40" t="inlineStr">
        <is>
          <t>21/22项数据完整写入</t>
        </is>
      </c>
    </row>
    <row r="41">
      <c r="A41" t="inlineStr">
        <is>
          <t>2026-05-01</t>
        </is>
      </c>
      <c r="B41" t="inlineStr">
        <is>
          <t>12:24:14</t>
        </is>
      </c>
      <c r="C41" t="inlineStr">
        <is>
          <t>补充数据</t>
        </is>
      </c>
      <c r="D41" t="inlineStr">
        <is>
          <t>第15行</t>
        </is>
      </c>
      <c r="E41" t="inlineStr">
        <is>
          <t>CPI同比=3.32% 补充完整 (22/22)</t>
        </is>
      </c>
    </row>
    <row r="42">
      <c r="A42" t="inlineStr">
        <is>
          <t>2026-05-01</t>
        </is>
      </c>
      <c r="B42" t="inlineStr">
        <is>
          <t>21:58:33</t>
        </is>
      </c>
      <c r="C42" t="inlineStr">
        <is>
          <t>数据收集</t>
        </is>
      </c>
      <c r="D42" t="inlineStr">
        <is>
          <t>第17行</t>
        </is>
      </c>
      <c r="E42" t="inlineStr">
        <is>
          <t>22/22项数据完整写入</t>
        </is>
      </c>
    </row>
    <row r="43">
      <c r="A43" t="inlineStr">
        <is>
          <t>2026-05-01</t>
        </is>
      </c>
      <c r="B43" t="inlineStr">
        <is>
          <t>23:04:00</t>
        </is>
      </c>
      <c r="C43" t="inlineStr">
        <is>
          <t>数据收集</t>
        </is>
      </c>
      <c r="D43" t="inlineStr">
        <is>
          <t>第18行</t>
        </is>
      </c>
      <c r="E43" t="inlineStr">
        <is>
          <t>22/22项完整 (DXY已修正为97.911)</t>
        </is>
      </c>
    </row>
    <row r="44">
      <c r="A44" t="inlineStr">
        <is>
          <t>2026-05-09 11:40:22</t>
        </is>
      </c>
      <c r="B44" t="inlineStr">
        <is>
          <t>自动采集: 新增5行数据(2026-05-04至2026-05-08)</t>
        </is>
      </c>
      <c r="C44" t="inlineStr">
        <is>
          <t>成功</t>
        </is>
      </c>
      <c r="D44" t="inlineStr">
        <is>
          <t>数据来源: akshare(GC/SI期货)、东方财富UDI(DXY)、东方财富B00Y(布油)、FRED(TIPS/VIX/信用利差/M2/CPI)、GPR月度2026-04(matteoiacoviello.com)</t>
        </is>
      </c>
    </row>
    <row r="45">
      <c r="A45" t="inlineStr">
        <is>
          <t>2026-05-11 08:17:48</t>
        </is>
      </c>
      <c r="B45" t="inlineStr">
        <is>
          <t>自动采集写入 2026-05-11 数据行（金价=4694.6, DXY=98.01, 布油=104.66）</t>
        </is>
      </c>
    </row>
    <row r="46">
      <c r="A46" t="inlineStr">
        <is>
          <t>2026-05-11 16:02:52</t>
        </is>
      </c>
      <c r="B46" t="inlineStr">
        <is>
          <t>自动采集更新 2026-05-11 数据（金价=4683.5, DXY=97.9845, 布油=104.91, 银价=80.895, RSI=47.63）</t>
        </is>
      </c>
    </row>
    <row r="47">
      <c r="A47" t="inlineStr">
        <is>
          <t>2026-05-13 17:32:51</t>
        </is>
      </c>
      <c r="B47" t="inlineStr">
        <is>
          <t>风险预警</t>
        </is>
      </c>
      <c r="C47" t="inlineStr">
        <is>
          <t>信号等级</t>
        </is>
      </c>
      <c r="D47" t="inlineStr">
        <is>
          <t>中性偏空 (-0.20)</t>
        </is>
      </c>
      <c r="E47" t="inlineStr">
        <is>
          <t>偏空 (-0.27482751)</t>
        </is>
      </c>
      <c r="F47" t="inlineStr">
        <is>
          <t>等级变化: 中性偏空→偏空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2026-06-08T09:26:31Z</dcterms:modified>
  <cp:lastModifiedBy>Zhang, Zhaoming</cp:lastModifiedBy>
</cp:coreProperties>
</file>